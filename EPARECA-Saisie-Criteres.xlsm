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ssm\Documents\ENPC\VET\S4\TAMUR\QGIS\"/>
    </mc:Choice>
  </mc:AlternateContent>
  <bookViews>
    <workbookView xWindow="0" yWindow="0" windowWidth="28080" windowHeight="16440" tabRatio="500"/>
  </bookViews>
  <sheets>
    <sheet name="Saisie" sheetId="1" r:id="rId1"/>
    <sheet name="Traitement macro" sheetId="3" r:id="rId2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1" i="1" l="1"/>
  <c r="E40" i="1"/>
  <c r="E39" i="1"/>
  <c r="E38" i="1"/>
  <c r="E37" i="1"/>
  <c r="E36" i="1"/>
  <c r="E35" i="1"/>
  <c r="E34" i="1"/>
  <c r="E33" i="1"/>
  <c r="E25" i="1" l="1"/>
  <c r="E29" i="1"/>
  <c r="E30" i="1"/>
  <c r="E31" i="1"/>
  <c r="E32" i="1"/>
  <c r="E27" i="1"/>
  <c r="E28" i="1"/>
  <c r="E23" i="1"/>
  <c r="E24" i="1"/>
  <c r="E26" i="1"/>
  <c r="E20" i="1"/>
  <c r="E21" i="1"/>
  <c r="E22" i="1"/>
  <c r="E13" i="1"/>
  <c r="E14" i="1"/>
  <c r="E15" i="1"/>
  <c r="E16" i="1"/>
  <c r="E17" i="1"/>
  <c r="E18" i="1"/>
  <c r="E6" i="1"/>
  <c r="E8" i="1"/>
  <c r="E10" i="1"/>
  <c r="E11" i="1"/>
  <c r="E7" i="1"/>
  <c r="E9" i="1"/>
  <c r="E12" i="1"/>
  <c r="E19" i="1"/>
</calcChain>
</file>

<file path=xl/sharedStrings.xml><?xml version="1.0" encoding="utf-8"?>
<sst xmlns="http://schemas.openxmlformats.org/spreadsheetml/2006/main" count="183" uniqueCount="143">
  <si>
    <t>Inscription du volet économique dans les documents d’urbanisme (PLU, Contrat de Ville, Protocole de préfiguration)</t>
  </si>
  <si>
    <t>Nature des relations Ville/EPCI</t>
  </si>
  <si>
    <t>Dynamique territoriale à l’échelle de l’EPCI</t>
  </si>
  <si>
    <t>Avancement des réflexions urbaines</t>
  </si>
  <si>
    <t>Structuration de la gouvernance et du pilotage de projet</t>
  </si>
  <si>
    <t>Cadre politique et gouvernance</t>
  </si>
  <si>
    <t>Mobilisation possible d’une SEM locale ou départementale</t>
  </si>
  <si>
    <t>EPCI stratégique pour l’établissement</t>
  </si>
  <si>
    <t>Compétences techniques des équipes</t>
  </si>
  <si>
    <t>Expérience acquise par l’établissement</t>
  </si>
  <si>
    <t>Appétence des bailleurs sociaux pour l’économique</t>
  </si>
  <si>
    <t>Pertinence de l'EPARECA comme acteur</t>
  </si>
  <si>
    <t>Caractéristiques de la structure immobilière</t>
  </si>
  <si>
    <t>Statut de propriété du site</t>
  </si>
  <si>
    <t>Opportunités foncières mobilisables</t>
  </si>
  <si>
    <t>Mobilisation envisagée d'un EPF</t>
  </si>
  <si>
    <t>Configuration foncière</t>
  </si>
  <si>
    <t>1ère saisine/Réactivation</t>
  </si>
  <si>
    <t>Saisine spontanée/induite</t>
  </si>
  <si>
    <t>Localisation du site (QPV?)</t>
  </si>
  <si>
    <t>Niveau de vacance des locaux commerciaux à l’échelle du quartier pondéré par la taille des pôles</t>
  </si>
  <si>
    <t>Necessité d'action</t>
  </si>
  <si>
    <t>Scoring de la collectivité</t>
  </si>
  <si>
    <t>Soutiens financiers envisageables</t>
  </si>
  <si>
    <t>Cadre économique</t>
  </si>
  <si>
    <t>Capacité de rayonnement (proximité, quartier, quartier élargi)</t>
  </si>
  <si>
    <t>Offre alternative proche et accessible</t>
  </si>
  <si>
    <t>Couverture commerciale (nombre de commerces pour 100 ménages)</t>
  </si>
  <si>
    <t>Diversité commerciale appréciée en fonction du poids de chaque secteur d’activité</t>
  </si>
  <si>
    <t>Caractéristiques du marché</t>
  </si>
  <si>
    <t>Oui</t>
  </si>
  <si>
    <t>Non</t>
  </si>
  <si>
    <t>Faible</t>
  </si>
  <si>
    <t>Moyen</t>
  </si>
  <si>
    <t>Fort</t>
  </si>
  <si>
    <t>QPV</t>
  </si>
  <si>
    <t>QIR / PNRQAD</t>
  </si>
  <si>
    <t>QIN</t>
  </si>
  <si>
    <t>Classement du quartier en politique de la ville (QPV simple, QIR, QIN, PNRQAD)</t>
  </si>
  <si>
    <t>ZFU-TE ?</t>
  </si>
  <si>
    <t>À lancer</t>
  </si>
  <si>
    <t>En cours ou achevée</t>
  </si>
  <si>
    <t>Bonne</t>
  </si>
  <si>
    <t>Mauvaise</t>
  </si>
  <si>
    <t>1ère saisine</t>
  </si>
  <si>
    <t>Réactivation</t>
  </si>
  <si>
    <t>Induite</t>
  </si>
  <si>
    <t>Spontanée</t>
  </si>
  <si>
    <t>ESS</t>
  </si>
  <si>
    <t>Centre ancien / projet artisanal</t>
  </si>
  <si>
    <t>Problématique commerciale dans un quartier d'habiat social</t>
  </si>
  <si>
    <t>À la frange du QPV et impact limité sur la population</t>
  </si>
  <si>
    <t>À la frange du QPV mais fonction de desserte du quartier</t>
  </si>
  <si>
    <t>Dans le QPV</t>
  </si>
  <si>
    <t>Proximité</t>
  </si>
  <si>
    <t>Quartier</t>
  </si>
  <si>
    <t>Quartier élargi</t>
  </si>
  <si>
    <t>Rez-de-chaussées d'immeubles / structure imbriquée</t>
  </si>
  <si>
    <t>Centre commercial isolé</t>
  </si>
  <si>
    <t>Copropriétés / ensemble de propriétaires privés</t>
  </si>
  <si>
    <t>Propriétaire privé unique</t>
  </si>
  <si>
    <t>Propriétaire public</t>
  </si>
  <si>
    <t>Limitées ou dépendantes du PRU</t>
  </si>
  <si>
    <t>Identifiées mais restant à maîtriser</t>
  </si>
  <si>
    <t>Maîtrisées par la collectivité</t>
  </si>
  <si>
    <t>Question</t>
  </si>
  <si>
    <t>Réponse</t>
  </si>
  <si>
    <t xml:space="preserve">Nom de l'opération : </t>
  </si>
  <si>
    <t xml:space="preserve">Communes : </t>
  </si>
  <si>
    <t xml:space="preserve">Date du conseil d'administration : </t>
  </si>
  <si>
    <t>Ambiance urbaine</t>
  </si>
  <si>
    <t>Appréciation de la sécurité</t>
  </si>
  <si>
    <t>Appréciation de la propreté</t>
  </si>
  <si>
    <t>Présence de groupes statiques, échos négatifs, zones dangereuses</t>
  </si>
  <si>
    <t>Sentiment de sécurité, bonne visibilité</t>
  </si>
  <si>
    <t>Présence rare d'éléments négatifs</t>
  </si>
  <si>
    <t>Parois des bâtiments et sols sales</t>
  </si>
  <si>
    <t>Sol sale, pas/peu de poubelles</t>
  </si>
  <si>
    <t>Pas de détritus, présence de poubelles</t>
  </si>
  <si>
    <t>Proximité, part et densité de la végétation</t>
  </si>
  <si>
    <t>Intensité et origine du bruit ambient</t>
  </si>
  <si>
    <t>Beaucoup de bruit dû au traffic</t>
  </si>
  <si>
    <t>Bruit peu gênant</t>
  </si>
  <si>
    <t>Majorité de sons agréables</t>
  </si>
  <si>
    <t>Beaucoup de coins sombres, mauvaise visibilité</t>
  </si>
  <si>
    <t>Quelques zones sombres</t>
  </si>
  <si>
    <t>Bonnes luminosité et visibilité</t>
  </si>
  <si>
    <t>Éclairage</t>
  </si>
  <si>
    <t>Appréciation de l'architecture</t>
  </si>
  <si>
    <t>Peu accueillante</t>
  </si>
  <si>
    <t>Agréable</t>
  </si>
  <si>
    <t>Neutre</t>
  </si>
  <si>
    <t>Rapport hauteur du bâti / distance entre les bâtiments</t>
  </si>
  <si>
    <t>Supérieur à 1</t>
  </si>
  <si>
    <t>Entre 1/4 et 1</t>
  </si>
  <si>
    <t>Inférieur à 1/4</t>
  </si>
  <si>
    <t>2 fois 2 voies</t>
  </si>
  <si>
    <t>2 voies</t>
  </si>
  <si>
    <t>Rue piétonne</t>
  </si>
  <si>
    <t>Largeur de la rue</t>
  </si>
  <si>
    <t>Flux piéton</t>
  </si>
  <si>
    <t>Important</t>
  </si>
  <si>
    <t>Moyenne</t>
  </si>
  <si>
    <t>Contribution à l’objectif de rééquilibrage géographique des interventions de l'EPARECA</t>
  </si>
  <si>
    <t>CP01</t>
  </si>
  <si>
    <t>CP02</t>
  </si>
  <si>
    <t>CP03</t>
  </si>
  <si>
    <t>CP04</t>
  </si>
  <si>
    <t>CP05</t>
  </si>
  <si>
    <t>CP06</t>
  </si>
  <si>
    <t>CP07</t>
  </si>
  <si>
    <t>PA01</t>
  </si>
  <si>
    <t>PA02</t>
  </si>
  <si>
    <t>PA03</t>
  </si>
  <si>
    <t>PA04</t>
  </si>
  <si>
    <t>PA05</t>
  </si>
  <si>
    <t>PA06</t>
  </si>
  <si>
    <t>CF01</t>
  </si>
  <si>
    <t>CF02</t>
  </si>
  <si>
    <t>CF03</t>
  </si>
  <si>
    <t>CF04</t>
  </si>
  <si>
    <t>NA01</t>
  </si>
  <si>
    <t>NA02</t>
  </si>
  <si>
    <t>NA03</t>
  </si>
  <si>
    <t>NA04</t>
  </si>
  <si>
    <t>CE01</t>
  </si>
  <si>
    <t>CE02</t>
  </si>
  <si>
    <t>CM01</t>
  </si>
  <si>
    <t>CM02</t>
  </si>
  <si>
    <t>CM03</t>
  </si>
  <si>
    <t>CM04</t>
  </si>
  <si>
    <t>AU01</t>
  </si>
  <si>
    <t>AU02</t>
  </si>
  <si>
    <t>AU03</t>
  </si>
  <si>
    <t>AU04</t>
  </si>
  <si>
    <t>AU05</t>
  </si>
  <si>
    <t>AU06</t>
  </si>
  <si>
    <t>AU07</t>
  </si>
  <si>
    <t>AU08</t>
  </si>
  <si>
    <t>AU09</t>
  </si>
  <si>
    <t xml:space="preserve">Chemin contenant le dossier principal : </t>
  </si>
  <si>
    <t>C:\Users\Nssm\Documents\ENPC\VET\S4\TAMUR\QGIS\Dossier principal</t>
  </si>
  <si>
    <t>Identifiant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</si>
</sst>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color theme="1"/>
      <name val="Calibri"/>
      <family val="2"/>
      <charset val="134"/>
      <scheme val="minor"/>
    </font>
    <font>
      <sz val="12"/>
      <color rgb="FF000000"/>
      <name val="Arial"/>
      <family val="2"/>
    </font>
    <font>
      <u/>
      <sz val="12"/>
      <color theme="10"/>
      <name val="Calibri"/>
      <family val="2"/>
      <charset val="134"/>
      <scheme val="minor"/>
    </font>
    <font>
      <u/>
      <sz val="12"/>
      <color theme="11"/>
      <name val="Calibri"/>
      <family val="2"/>
      <charset val="134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4" fillId="2" borderId="10" xfId="0" applyFont="1" applyFill="1" applyBorder="1" applyAlignment="1">
      <alignment horizontal="center"/>
    </xf>
    <xf numFmtId="0" fontId="0" fillId="2" borderId="9" xfId="0" applyFill="1" applyBorder="1"/>
    <xf numFmtId="0" fontId="4" fillId="2" borderId="11" xfId="0" applyFont="1" applyFill="1" applyBorder="1" applyAlignment="1">
      <alignment horizontal="center"/>
    </xf>
    <xf numFmtId="0" fontId="1" fillId="3" borderId="0" xfId="0" applyFont="1" applyFill="1" applyBorder="1"/>
    <xf numFmtId="0" fontId="1" fillId="3" borderId="13" xfId="0" applyFont="1" applyFill="1" applyBorder="1"/>
    <xf numFmtId="0" fontId="0" fillId="0" borderId="14" xfId="0" applyBorder="1"/>
    <xf numFmtId="0" fontId="1" fillId="3" borderId="16" xfId="0" applyFont="1" applyFill="1" applyBorder="1"/>
    <xf numFmtId="0" fontId="0" fillId="0" borderId="17" xfId="0" applyBorder="1"/>
    <xf numFmtId="0" fontId="1" fillId="3" borderId="2" xfId="0" applyFont="1" applyFill="1" applyBorder="1" applyAlignment="1">
      <alignment wrapText="1"/>
    </xf>
    <xf numFmtId="0" fontId="1" fillId="3" borderId="13" xfId="0" applyFont="1" applyFill="1" applyBorder="1" applyAlignment="1">
      <alignment wrapText="1"/>
    </xf>
    <xf numFmtId="0" fontId="5" fillId="3" borderId="1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right"/>
    </xf>
    <xf numFmtId="0" fontId="5" fillId="3" borderId="6" xfId="0" applyFont="1" applyFill="1" applyBorder="1" applyAlignment="1">
      <alignment horizontal="right"/>
    </xf>
    <xf numFmtId="0" fontId="0" fillId="0" borderId="3" xfId="0" applyFill="1" applyBorder="1"/>
    <xf numFmtId="0" fontId="0" fillId="0" borderId="5" xfId="0" applyFill="1" applyBorder="1"/>
    <xf numFmtId="0" fontId="0" fillId="0" borderId="8" xfId="0" applyFill="1" applyBorder="1"/>
    <xf numFmtId="0" fontId="7" fillId="3" borderId="0" xfId="0" applyFont="1" applyFill="1" applyBorder="1"/>
    <xf numFmtId="0" fontId="7" fillId="3" borderId="16" xfId="0" applyFont="1" applyFill="1" applyBorder="1"/>
    <xf numFmtId="0" fontId="7" fillId="3" borderId="7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0" xfId="0" applyFill="1" applyBorder="1"/>
    <xf numFmtId="0" fontId="0" fillId="4" borderId="9" xfId="0" applyFill="1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2" borderId="18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47</xdr:row>
          <xdr:rowOff>142875</xdr:rowOff>
        </xdr:from>
        <xdr:to>
          <xdr:col>3</xdr:col>
          <xdr:colOff>3495675</xdr:colOff>
          <xdr:row>51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Terminer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3562350</xdr:colOff>
          <xdr:row>49</xdr:row>
          <xdr:rowOff>161925</xdr:rowOff>
        </xdr:from>
        <xdr:to>
          <xdr:col>5</xdr:col>
          <xdr:colOff>752475</xdr:colOff>
          <xdr:row>51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66"/>
  <sheetViews>
    <sheetView tabSelected="1" workbookViewId="0"/>
  </sheetViews>
  <sheetFormatPr defaultColWidth="11" defaultRowHeight="15.75"/>
  <cols>
    <col min="1" max="1" width="3.375" customWidth="1"/>
    <col min="2" max="2" width="19.5" customWidth="1"/>
    <col min="3" max="3" width="79.25" bestFit="1" customWidth="1"/>
    <col min="4" max="4" width="61.5" customWidth="1"/>
    <col min="5" max="5" width="9.875" hidden="1" customWidth="1"/>
    <col min="6" max="6" width="10.625" style="34" customWidth="1"/>
    <col min="7" max="7" width="56.5" hidden="1" customWidth="1"/>
  </cols>
  <sheetData>
    <row r="1" spans="2:7">
      <c r="C1" s="14" t="s">
        <v>67</v>
      </c>
      <c r="D1" s="17"/>
      <c r="E1" s="30"/>
    </row>
    <row r="2" spans="2:7">
      <c r="C2" s="15" t="s">
        <v>68</v>
      </c>
      <c r="D2" s="18"/>
      <c r="E2" s="31"/>
    </row>
    <row r="3" spans="2:7" ht="16.5" thickBot="1">
      <c r="C3" s="16" t="s">
        <v>69</v>
      </c>
      <c r="D3" s="19"/>
      <c r="E3" s="31"/>
    </row>
    <row r="4" spans="2:7" ht="16.5" thickBot="1"/>
    <row r="5" spans="2:7" ht="27" thickBot="1">
      <c r="B5" s="5"/>
      <c r="C5" s="6" t="s">
        <v>65</v>
      </c>
      <c r="D5" s="4" t="s">
        <v>66</v>
      </c>
      <c r="F5" s="37" t="s">
        <v>142</v>
      </c>
    </row>
    <row r="6" spans="2:7" ht="30" customHeight="1">
      <c r="B6" s="29" t="s">
        <v>5</v>
      </c>
      <c r="C6" s="12" t="s">
        <v>0</v>
      </c>
      <c r="D6" s="1"/>
      <c r="E6">
        <f>IF(D6=G$10,2,0) + IF(D6=G$9,1,0) +0</f>
        <v>0</v>
      </c>
      <c r="F6" s="35" t="s">
        <v>104</v>
      </c>
      <c r="G6" t="s">
        <v>30</v>
      </c>
    </row>
    <row r="7" spans="2:7">
      <c r="B7" s="28"/>
      <c r="C7" s="7" t="s">
        <v>1</v>
      </c>
      <c r="D7" s="2"/>
      <c r="E7">
        <f>IF(D7=G16,2,0)</f>
        <v>0</v>
      </c>
      <c r="F7" s="35" t="s">
        <v>105</v>
      </c>
      <c r="G7" t="s">
        <v>31</v>
      </c>
    </row>
    <row r="8" spans="2:7">
      <c r="B8" s="28"/>
      <c r="C8" s="7" t="s">
        <v>2</v>
      </c>
      <c r="D8" s="2"/>
      <c r="E8">
        <f>IF(D8=G$10,2,0) + IF(D8=G$9,1,0) +0</f>
        <v>0</v>
      </c>
      <c r="F8" s="35" t="s">
        <v>106</v>
      </c>
      <c r="G8" t="s">
        <v>32</v>
      </c>
    </row>
    <row r="9" spans="2:7">
      <c r="B9" s="28"/>
      <c r="C9" s="7" t="s">
        <v>3</v>
      </c>
      <c r="D9" s="2"/>
      <c r="E9">
        <f>IF(D9=G15,2,0)</f>
        <v>0</v>
      </c>
      <c r="F9" s="35" t="s">
        <v>107</v>
      </c>
      <c r="G9" t="s">
        <v>33</v>
      </c>
    </row>
    <row r="10" spans="2:7">
      <c r="B10" s="28"/>
      <c r="C10" s="7" t="s">
        <v>4</v>
      </c>
      <c r="D10" s="2"/>
      <c r="E10">
        <f>IF(D10=G$10,2,0) + IF(D10=G$9,1,0) +0</f>
        <v>0</v>
      </c>
      <c r="F10" s="35" t="s">
        <v>108</v>
      </c>
      <c r="G10" t="s">
        <v>34</v>
      </c>
    </row>
    <row r="11" spans="2:7">
      <c r="B11" s="28"/>
      <c r="C11" s="7" t="s">
        <v>38</v>
      </c>
      <c r="D11" s="2"/>
      <c r="E11">
        <f>IF(D11=G12,1,0) + IF(D11=G13,2,0)</f>
        <v>0</v>
      </c>
      <c r="F11" s="35" t="s">
        <v>109</v>
      </c>
      <c r="G11" t="s">
        <v>35</v>
      </c>
    </row>
    <row r="12" spans="2:7">
      <c r="B12" s="27"/>
      <c r="C12" s="8" t="s">
        <v>39</v>
      </c>
      <c r="D12" s="9"/>
      <c r="E12">
        <f>IF(D12=G$6,1,0)</f>
        <v>0</v>
      </c>
      <c r="F12" s="38" t="s">
        <v>110</v>
      </c>
      <c r="G12" t="s">
        <v>36</v>
      </c>
    </row>
    <row r="13" spans="2:7">
      <c r="B13" s="26" t="s">
        <v>11</v>
      </c>
      <c r="C13" s="10" t="s">
        <v>6</v>
      </c>
      <c r="D13" s="11"/>
      <c r="E13">
        <f>IF(D13=G7,1,0)</f>
        <v>0</v>
      </c>
      <c r="F13" s="35" t="s">
        <v>111</v>
      </c>
      <c r="G13" t="s">
        <v>37</v>
      </c>
    </row>
    <row r="14" spans="2:7">
      <c r="B14" s="28"/>
      <c r="C14" s="7" t="s">
        <v>103</v>
      </c>
      <c r="D14" s="2"/>
      <c r="E14">
        <f>IF(D14=G$6,2,0)</f>
        <v>0</v>
      </c>
      <c r="F14" s="35" t="s">
        <v>112</v>
      </c>
      <c r="G14" t="s">
        <v>40</v>
      </c>
    </row>
    <row r="15" spans="2:7">
      <c r="B15" s="28"/>
      <c r="C15" s="7" t="s">
        <v>7</v>
      </c>
      <c r="D15" s="2"/>
      <c r="E15">
        <f>IF(D15=G$6,2,0)</f>
        <v>0</v>
      </c>
      <c r="F15" s="35" t="s">
        <v>113</v>
      </c>
      <c r="G15" t="s">
        <v>41</v>
      </c>
    </row>
    <row r="16" spans="2:7">
      <c r="B16" s="28"/>
      <c r="C16" s="7" t="s">
        <v>8</v>
      </c>
      <c r="D16" s="2"/>
      <c r="E16">
        <f>IF(D16=G$10,2,0) + IF(D16=G$9,1,0) +0</f>
        <v>0</v>
      </c>
      <c r="F16" s="35" t="s">
        <v>114</v>
      </c>
      <c r="G16" t="s">
        <v>42</v>
      </c>
    </row>
    <row r="17" spans="2:7">
      <c r="B17" s="28"/>
      <c r="C17" s="7" t="s">
        <v>9</v>
      </c>
      <c r="D17" s="2"/>
      <c r="E17">
        <f>IF(D17=G24,2,0) + IF(D17=G23,1,0)</f>
        <v>0</v>
      </c>
      <c r="F17" s="35" t="s">
        <v>115</v>
      </c>
      <c r="G17" t="s">
        <v>43</v>
      </c>
    </row>
    <row r="18" spans="2:7">
      <c r="B18" s="27"/>
      <c r="C18" s="8" t="s">
        <v>10</v>
      </c>
      <c r="D18" s="9"/>
      <c r="E18">
        <f>IF(D18=G7,1,0)</f>
        <v>0</v>
      </c>
      <c r="F18" s="38" t="s">
        <v>116</v>
      </c>
      <c r="G18" t="s">
        <v>44</v>
      </c>
    </row>
    <row r="19" spans="2:7">
      <c r="B19" s="26" t="s">
        <v>16</v>
      </c>
      <c r="C19" s="10" t="s">
        <v>12</v>
      </c>
      <c r="D19" s="11"/>
      <c r="E19">
        <f>IF(D19=G32,2,0)</f>
        <v>0</v>
      </c>
      <c r="F19" s="35" t="s">
        <v>117</v>
      </c>
      <c r="G19" t="s">
        <v>45</v>
      </c>
    </row>
    <row r="20" spans="2:7">
      <c r="B20" s="28"/>
      <c r="C20" s="7" t="s">
        <v>13</v>
      </c>
      <c r="D20" s="2"/>
      <c r="E20">
        <f>IF(D20=G35,2,0) + IF(D20=G34,1,0)</f>
        <v>0</v>
      </c>
      <c r="F20" s="35" t="s">
        <v>118</v>
      </c>
      <c r="G20" t="s">
        <v>46</v>
      </c>
    </row>
    <row r="21" spans="2:7">
      <c r="B21" s="28"/>
      <c r="C21" s="7" t="s">
        <v>14</v>
      </c>
      <c r="D21" s="2"/>
      <c r="E21">
        <f>IF(D21=G38,2,0) + IF(D21=G37,1,0)</f>
        <v>0</v>
      </c>
      <c r="F21" s="35" t="s">
        <v>119</v>
      </c>
      <c r="G21" t="s">
        <v>47</v>
      </c>
    </row>
    <row r="22" spans="2:7">
      <c r="B22" s="27"/>
      <c r="C22" s="8" t="s">
        <v>15</v>
      </c>
      <c r="D22" s="9"/>
      <c r="E22">
        <f>IF(D22=G$6,1,0)</f>
        <v>0</v>
      </c>
      <c r="F22" s="38" t="s">
        <v>120</v>
      </c>
      <c r="G22" t="s">
        <v>48</v>
      </c>
    </row>
    <row r="23" spans="2:7">
      <c r="B23" s="26" t="s">
        <v>21</v>
      </c>
      <c r="C23" s="10" t="s">
        <v>17</v>
      </c>
      <c r="D23" s="11"/>
      <c r="E23">
        <f>IF(D23=G18,1,0)</f>
        <v>0</v>
      </c>
      <c r="F23" s="35" t="s">
        <v>121</v>
      </c>
      <c r="G23" t="s">
        <v>49</v>
      </c>
    </row>
    <row r="24" spans="2:7">
      <c r="B24" s="28"/>
      <c r="C24" s="7" t="s">
        <v>18</v>
      </c>
      <c r="D24" s="2"/>
      <c r="E24">
        <f>IF(D24=G21,1,0)</f>
        <v>0</v>
      </c>
      <c r="F24" s="35" t="s">
        <v>122</v>
      </c>
      <c r="G24" t="s">
        <v>50</v>
      </c>
    </row>
    <row r="25" spans="2:7">
      <c r="B25" s="28"/>
      <c r="C25" s="7" t="s">
        <v>19</v>
      </c>
      <c r="D25" s="2"/>
      <c r="E25">
        <f>IF(D25=G27,2,0) + IF(D25=G26,1,0)</f>
        <v>0</v>
      </c>
      <c r="F25" s="35" t="s">
        <v>123</v>
      </c>
      <c r="G25" t="s">
        <v>51</v>
      </c>
    </row>
    <row r="26" spans="2:7" ht="30" customHeight="1">
      <c r="B26" s="27"/>
      <c r="C26" s="13" t="s">
        <v>20</v>
      </c>
      <c r="D26" s="9"/>
      <c r="E26">
        <f>IF(D26=G$10,2,0) + IF(D26=G$9,1,0) +0</f>
        <v>0</v>
      </c>
      <c r="F26" s="38" t="s">
        <v>124</v>
      </c>
      <c r="G26" t="s">
        <v>52</v>
      </c>
    </row>
    <row r="27" spans="2:7">
      <c r="B27" s="26" t="s">
        <v>24</v>
      </c>
      <c r="C27" s="10" t="s">
        <v>22</v>
      </c>
      <c r="D27" s="11"/>
      <c r="E27">
        <f>IF(D27&gt;0.6,1,0) + IF(D27&gt;0.35,1,0)</f>
        <v>0</v>
      </c>
      <c r="F27" s="35" t="s">
        <v>125</v>
      </c>
      <c r="G27" t="s">
        <v>53</v>
      </c>
    </row>
    <row r="28" spans="2:7">
      <c r="B28" s="27"/>
      <c r="C28" s="8" t="s">
        <v>23</v>
      </c>
      <c r="D28" s="9"/>
      <c r="E28">
        <f>IF(D28=G6,2,0)</f>
        <v>0</v>
      </c>
      <c r="F28" s="38" t="s">
        <v>126</v>
      </c>
      <c r="G28" t="s">
        <v>54</v>
      </c>
    </row>
    <row r="29" spans="2:7">
      <c r="B29" s="26" t="s">
        <v>29</v>
      </c>
      <c r="C29" s="10" t="s">
        <v>25</v>
      </c>
      <c r="D29" s="11"/>
      <c r="E29">
        <f>IF(D29=G30,2,0) + IF(D29=G29,1,0)</f>
        <v>0</v>
      </c>
      <c r="F29" s="35" t="s">
        <v>127</v>
      </c>
      <c r="G29" t="s">
        <v>55</v>
      </c>
    </row>
    <row r="30" spans="2:7">
      <c r="B30" s="28"/>
      <c r="C30" s="7" t="s">
        <v>26</v>
      </c>
      <c r="D30" s="2"/>
      <c r="E30">
        <f>IF(D30=G$8,2,0) + IF(D30=G$9,1,0)</f>
        <v>0</v>
      </c>
      <c r="F30" s="35" t="s">
        <v>128</v>
      </c>
      <c r="G30" t="s">
        <v>56</v>
      </c>
    </row>
    <row r="31" spans="2:7">
      <c r="B31" s="28"/>
      <c r="C31" s="7" t="s">
        <v>27</v>
      </c>
      <c r="D31" s="2"/>
      <c r="E31">
        <f>IF(D31=G$8,2,0) + IF(D31=G$9,1,0)</f>
        <v>0</v>
      </c>
      <c r="F31" s="35" t="s">
        <v>129</v>
      </c>
      <c r="G31" t="s">
        <v>57</v>
      </c>
    </row>
    <row r="32" spans="2:7">
      <c r="B32" s="27"/>
      <c r="C32" s="8" t="s">
        <v>28</v>
      </c>
      <c r="D32" s="9"/>
      <c r="E32">
        <f>IF(D32=G$8,2,0) + IF(D32=G$9,1,0)</f>
        <v>0</v>
      </c>
      <c r="F32" s="38" t="s">
        <v>130</v>
      </c>
      <c r="G32" t="s">
        <v>58</v>
      </c>
    </row>
    <row r="33" spans="2:7">
      <c r="B33" s="23" t="s">
        <v>70</v>
      </c>
      <c r="C33" s="21" t="s">
        <v>71</v>
      </c>
      <c r="D33" s="11"/>
      <c r="E33">
        <f>IF(D33=G40,1)+IF(D33=G41,2)+IF(D33=G42,3)</f>
        <v>0</v>
      </c>
      <c r="F33" s="35" t="s">
        <v>131</v>
      </c>
      <c r="G33" t="s">
        <v>59</v>
      </c>
    </row>
    <row r="34" spans="2:7">
      <c r="B34" s="24"/>
      <c r="C34" s="20" t="s">
        <v>72</v>
      </c>
      <c r="D34" s="2"/>
      <c r="E34">
        <f>IF(D34=G43,1)+IF(D34=G44,2)+IF(D34=G45,3)</f>
        <v>0</v>
      </c>
      <c r="F34" s="35" t="s">
        <v>132</v>
      </c>
      <c r="G34" t="s">
        <v>60</v>
      </c>
    </row>
    <row r="35" spans="2:7">
      <c r="B35" s="24"/>
      <c r="C35" s="20" t="s">
        <v>79</v>
      </c>
      <c r="D35" s="2"/>
      <c r="E35">
        <f>IF(D35=G64,1)+IF(D35=G65,2)+IF(D35=G66,3)</f>
        <v>0</v>
      </c>
      <c r="F35" s="35" t="s">
        <v>133</v>
      </c>
      <c r="G35" t="s">
        <v>61</v>
      </c>
    </row>
    <row r="36" spans="2:7">
      <c r="B36" s="24"/>
      <c r="C36" s="20" t="s">
        <v>80</v>
      </c>
      <c r="D36" s="2"/>
      <c r="E36">
        <f>IF(D36=G46,1)+IF(D36=G47,2)+IF(D36=G48,3)</f>
        <v>0</v>
      </c>
      <c r="F36" s="35" t="s">
        <v>134</v>
      </c>
      <c r="G36" t="s">
        <v>62</v>
      </c>
    </row>
    <row r="37" spans="2:7">
      <c r="B37" s="24"/>
      <c r="C37" s="20" t="s">
        <v>87</v>
      </c>
      <c r="D37" s="2"/>
      <c r="E37">
        <f>IF(D37=G49,1)+IF(D37=G50,2)+IF(D37=G51,3)</f>
        <v>0</v>
      </c>
      <c r="F37" s="35" t="s">
        <v>135</v>
      </c>
      <c r="G37" t="s">
        <v>63</v>
      </c>
    </row>
    <row r="38" spans="2:7">
      <c r="B38" s="24"/>
      <c r="C38" s="20" t="s">
        <v>88</v>
      </c>
      <c r="D38" s="2"/>
      <c r="E38">
        <f>IF(D38=G52,1)+IF(D38=G53,2)+IF(D38=G54,3)</f>
        <v>0</v>
      </c>
      <c r="F38" s="35" t="s">
        <v>136</v>
      </c>
      <c r="G38" t="s">
        <v>64</v>
      </c>
    </row>
    <row r="39" spans="2:7">
      <c r="B39" s="24"/>
      <c r="C39" s="20" t="s">
        <v>92</v>
      </c>
      <c r="D39" s="2"/>
      <c r="E39">
        <f>IF(D39=G55,1)+IF(D39=G56,2)+IF(D39=G57,3)</f>
        <v>0</v>
      </c>
      <c r="F39" s="35" t="s">
        <v>137</v>
      </c>
    </row>
    <row r="40" spans="2:7">
      <c r="B40" s="24"/>
      <c r="C40" s="20" t="s">
        <v>99</v>
      </c>
      <c r="D40" s="2"/>
      <c r="E40">
        <f>IF(D40=G58,1)+IF(D40=G59,2)+IF(D40=G60,3)</f>
        <v>0</v>
      </c>
      <c r="F40" s="35" t="s">
        <v>138</v>
      </c>
      <c r="G40" t="s">
        <v>73</v>
      </c>
    </row>
    <row r="41" spans="2:7" ht="16.5" thickBot="1">
      <c r="B41" s="25"/>
      <c r="C41" s="22" t="s">
        <v>100</v>
      </c>
      <c r="D41" s="3"/>
      <c r="E41">
        <f>IF(D41=G61,1)+IF(D41=G62,2)+IF(D41=G63,3)</f>
        <v>0</v>
      </c>
      <c r="F41" s="36" t="s">
        <v>139</v>
      </c>
      <c r="G41" t="s">
        <v>75</v>
      </c>
    </row>
    <row r="42" spans="2:7">
      <c r="G42" t="s">
        <v>74</v>
      </c>
    </row>
    <row r="43" spans="2:7" ht="16.5" thickBot="1">
      <c r="G43" t="s">
        <v>76</v>
      </c>
    </row>
    <row r="44" spans="2:7" ht="16.5" thickBot="1">
      <c r="C44" s="32" t="s">
        <v>140</v>
      </c>
      <c r="D44" s="33" t="s">
        <v>141</v>
      </c>
      <c r="G44" t="s">
        <v>77</v>
      </c>
    </row>
    <row r="45" spans="2:7">
      <c r="G45" t="s">
        <v>78</v>
      </c>
    </row>
    <row r="46" spans="2:7">
      <c r="G46" t="s">
        <v>81</v>
      </c>
    </row>
    <row r="47" spans="2:7">
      <c r="G47" t="s">
        <v>82</v>
      </c>
    </row>
    <row r="48" spans="2:7">
      <c r="G48" t="s">
        <v>83</v>
      </c>
    </row>
    <row r="49" spans="7:7">
      <c r="G49" t="s">
        <v>84</v>
      </c>
    </row>
    <row r="50" spans="7:7">
      <c r="G50" t="s">
        <v>85</v>
      </c>
    </row>
    <row r="51" spans="7:7">
      <c r="G51" t="s">
        <v>86</v>
      </c>
    </row>
    <row r="52" spans="7:7">
      <c r="G52" t="s">
        <v>89</v>
      </c>
    </row>
    <row r="53" spans="7:7">
      <c r="G53" t="s">
        <v>91</v>
      </c>
    </row>
    <row r="54" spans="7:7">
      <c r="G54" t="s">
        <v>90</v>
      </c>
    </row>
    <row r="55" spans="7:7">
      <c r="G55" t="s">
        <v>93</v>
      </c>
    </row>
    <row r="56" spans="7:7">
      <c r="G56" t="s">
        <v>94</v>
      </c>
    </row>
    <row r="57" spans="7:7">
      <c r="G57" t="s">
        <v>95</v>
      </c>
    </row>
    <row r="58" spans="7:7">
      <c r="G58" t="s">
        <v>96</v>
      </c>
    </row>
    <row r="59" spans="7:7">
      <c r="G59" t="s">
        <v>97</v>
      </c>
    </row>
    <row r="60" spans="7:7">
      <c r="G60" t="s">
        <v>98</v>
      </c>
    </row>
    <row r="61" spans="7:7">
      <c r="G61" t="s">
        <v>32</v>
      </c>
    </row>
    <row r="62" spans="7:7">
      <c r="G62" t="s">
        <v>33</v>
      </c>
    </row>
    <row r="63" spans="7:7">
      <c r="G63" t="s">
        <v>101</v>
      </c>
    </row>
    <row r="64" spans="7:7">
      <c r="G64" t="s">
        <v>32</v>
      </c>
    </row>
    <row r="65" spans="7:7">
      <c r="G65" t="s">
        <v>102</v>
      </c>
    </row>
    <row r="66" spans="7:7">
      <c r="G66" t="s">
        <v>42</v>
      </c>
    </row>
  </sheetData>
  <mergeCells count="7">
    <mergeCell ref="B33:B41"/>
    <mergeCell ref="B27:B28"/>
    <mergeCell ref="B29:B32"/>
    <mergeCell ref="B6:B12"/>
    <mergeCell ref="B13:B18"/>
    <mergeCell ref="B19:B22"/>
    <mergeCell ref="B23:B26"/>
  </mergeCells>
  <dataValidations count="22">
    <dataValidation type="list" allowBlank="1" showInputMessage="1" showErrorMessage="1" sqref="D7">
      <formula1>$G$16:$G$17</formula1>
    </dataValidation>
    <dataValidation type="list" allowBlank="1" showInputMessage="1" showErrorMessage="1" sqref="D9">
      <formula1>$G$14:$G$15</formula1>
    </dataValidation>
    <dataValidation type="list" allowBlank="1" showInputMessage="1" showErrorMessage="1" sqref="D6 D8 D30:D32 D26 D16 D10">
      <formula1>$G$8:$G$10</formula1>
    </dataValidation>
    <dataValidation type="list" allowBlank="1" showInputMessage="1" showErrorMessage="1" sqref="D11">
      <formula1>$G$11:$G$13</formula1>
    </dataValidation>
    <dataValidation type="list" allowBlank="1" showInputMessage="1" showErrorMessage="1" sqref="D28 D22 D18 D12:D15">
      <formula1>$G$6:$G$7</formula1>
    </dataValidation>
    <dataValidation type="list" allowBlank="1" showInputMessage="1" showErrorMessage="1" sqref="D17">
      <formula1>$G$22:$G$24</formula1>
    </dataValidation>
    <dataValidation type="list" allowBlank="1" showInputMessage="1" showErrorMessage="1" sqref="D19">
      <formula1>$G$31:$G$32</formula1>
    </dataValidation>
    <dataValidation type="list" allowBlank="1" showInputMessage="1" showErrorMessage="1" sqref="D20">
      <formula1>$G$33:$G$35</formula1>
    </dataValidation>
    <dataValidation type="list" allowBlank="1" showInputMessage="1" showErrorMessage="1" sqref="D21">
      <formula1>$G$36:$G$38</formula1>
    </dataValidation>
    <dataValidation type="list" allowBlank="1" showInputMessage="1" showErrorMessage="1" sqref="D23">
      <formula1>$G$18:$G$19</formula1>
    </dataValidation>
    <dataValidation type="list" allowBlank="1" showInputMessage="1" showErrorMessage="1" sqref="D24">
      <formula1>$G$20:$G$21</formula1>
    </dataValidation>
    <dataValidation type="list" allowBlank="1" showInputMessage="1" showErrorMessage="1" sqref="D29">
      <formula1>$G$28:$G$30</formula1>
    </dataValidation>
    <dataValidation type="list" allowBlank="1" showInputMessage="1" showErrorMessage="1" sqref="D25">
      <formula1>$G$25:$G$27</formula1>
    </dataValidation>
    <dataValidation type="list" allowBlank="1" showInputMessage="1" showErrorMessage="1" sqref="D33">
      <formula1>$G$40:$G$42</formula1>
    </dataValidation>
    <dataValidation type="list" allowBlank="1" showInputMessage="1" showErrorMessage="1" sqref="D34">
      <formula1>$G$43:$G$45</formula1>
    </dataValidation>
    <dataValidation type="list" allowBlank="1" showInputMessage="1" showErrorMessage="1" sqref="D35">
      <formula1>$G$64:$G$66</formula1>
    </dataValidation>
    <dataValidation type="list" allowBlank="1" showInputMessage="1" showErrorMessage="1" sqref="D36">
      <formula1>$G$46:$G$48</formula1>
    </dataValidation>
    <dataValidation type="list" allowBlank="1" showInputMessage="1" showErrorMessage="1" sqref="D37">
      <formula1>$G$49:$G$51</formula1>
    </dataValidation>
    <dataValidation type="list" allowBlank="1" showInputMessage="1" showErrorMessage="1" sqref="D38">
      <formula1>$G$52:$G$54</formula1>
    </dataValidation>
    <dataValidation type="list" allowBlank="1" showInputMessage="1" showErrorMessage="1" sqref="D39">
      <formula1>$G$55:$G$57</formula1>
    </dataValidation>
    <dataValidation type="list" allowBlank="1" showInputMessage="1" showErrorMessage="1" sqref="D40">
      <formula1>$G$58:$G$60</formula1>
    </dataValidation>
    <dataValidation type="list" allowBlank="1" showInputMessage="1" showErrorMessage="1" sqref="D41">
      <formula1>$G$61:$G$63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 sizeWithCells="1">
                  <from>
                    <xdr:col>3</xdr:col>
                    <xdr:colOff>885825</xdr:colOff>
                    <xdr:row>47</xdr:row>
                    <xdr:rowOff>142875</xdr:rowOff>
                  </from>
                  <to>
                    <xdr:col>3</xdr:col>
                    <xdr:colOff>3495675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">
                <anchor moveWithCells="1" sizeWithCells="1">
                  <from>
                    <xdr:col>3</xdr:col>
                    <xdr:colOff>3562350</xdr:colOff>
                    <xdr:row>49</xdr:row>
                    <xdr:rowOff>161925</xdr:rowOff>
                  </from>
                  <to>
                    <xdr:col>5</xdr:col>
                    <xdr:colOff>752475</xdr:colOff>
                    <xdr:row>51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7"/>
  <sheetViews>
    <sheetView workbookViewId="0"/>
  </sheetViews>
  <sheetFormatPr defaultRowHeight="15.75"/>
  <sheetData>
    <row r="1" spans="1:4">
      <c r="A1" t="s">
        <v>104</v>
      </c>
      <c r="D1" t="s">
        <v>131</v>
      </c>
    </row>
    <row r="2" spans="1:4">
      <c r="A2" t="s">
        <v>105</v>
      </c>
      <c r="D2" t="s">
        <v>132</v>
      </c>
    </row>
    <row r="3" spans="1:4">
      <c r="A3" t="s">
        <v>106</v>
      </c>
      <c r="D3" t="s">
        <v>133</v>
      </c>
    </row>
    <row r="4" spans="1:4">
      <c r="A4" t="s">
        <v>107</v>
      </c>
      <c r="D4" t="s">
        <v>134</v>
      </c>
    </row>
    <row r="5" spans="1:4">
      <c r="A5" t="s">
        <v>108</v>
      </c>
      <c r="D5" t="s">
        <v>135</v>
      </c>
    </row>
    <row r="6" spans="1:4">
      <c r="A6" t="s">
        <v>109</v>
      </c>
      <c r="D6" t="s">
        <v>136</v>
      </c>
    </row>
    <row r="7" spans="1:4">
      <c r="A7" t="s">
        <v>110</v>
      </c>
      <c r="D7" t="s">
        <v>137</v>
      </c>
    </row>
    <row r="8" spans="1:4">
      <c r="A8" t="s">
        <v>111</v>
      </c>
      <c r="D8" t="s">
        <v>138</v>
      </c>
    </row>
    <row r="9" spans="1:4">
      <c r="A9" t="s">
        <v>112</v>
      </c>
      <c r="D9" t="s">
        <v>139</v>
      </c>
    </row>
    <row r="10" spans="1:4">
      <c r="A10" t="s">
        <v>113</v>
      </c>
    </row>
    <row r="11" spans="1:4">
      <c r="A11" t="s">
        <v>114</v>
      </c>
    </row>
    <row r="12" spans="1:4">
      <c r="A12" t="s">
        <v>115</v>
      </c>
    </row>
    <row r="13" spans="1:4">
      <c r="A13" t="s">
        <v>116</v>
      </c>
    </row>
    <row r="14" spans="1:4">
      <c r="A14" t="s">
        <v>117</v>
      </c>
    </row>
    <row r="15" spans="1:4">
      <c r="A15" t="s">
        <v>118</v>
      </c>
    </row>
    <row r="16" spans="1:4">
      <c r="A16" t="s">
        <v>119</v>
      </c>
    </row>
    <row r="17" spans="1:1">
      <c r="A17" t="s">
        <v>120</v>
      </c>
    </row>
    <row r="18" spans="1:1">
      <c r="A18" t="s">
        <v>121</v>
      </c>
    </row>
    <row r="19" spans="1:1">
      <c r="A19" t="s">
        <v>122</v>
      </c>
    </row>
    <row r="20" spans="1:1">
      <c r="A20" t="s">
        <v>123</v>
      </c>
    </row>
    <row r="21" spans="1:1">
      <c r="A21" t="s">
        <v>124</v>
      </c>
    </row>
    <row r="22" spans="1:1">
      <c r="A22" t="s">
        <v>125</v>
      </c>
    </row>
    <row r="23" spans="1:1">
      <c r="A23" t="s">
        <v>126</v>
      </c>
    </row>
    <row r="24" spans="1:1">
      <c r="A24" t="s">
        <v>127</v>
      </c>
    </row>
    <row r="25" spans="1:1">
      <c r="A25" t="s">
        <v>128</v>
      </c>
    </row>
    <row r="26" spans="1:1">
      <c r="A26" t="s">
        <v>129</v>
      </c>
    </row>
    <row r="27" spans="1:1">
      <c r="A27" t="s"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Saisie</vt:lpstr>
      <vt:lpstr>Traitement macro</vt:lpstr>
    </vt:vector>
  </TitlesOfParts>
  <Company>Blablabla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</dc:creator>
  <cp:lastModifiedBy>Nssm</cp:lastModifiedBy>
  <dcterms:created xsi:type="dcterms:W3CDTF">2018-05-09T12:30:40Z</dcterms:created>
  <dcterms:modified xsi:type="dcterms:W3CDTF">2018-06-18T14:13:11Z</dcterms:modified>
</cp:coreProperties>
</file>