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ssm\Documents\ENPC\VET\S4\TAMUR\QGIS\"/>
    </mc:Choice>
  </mc:AlternateContent>
  <bookViews>
    <workbookView xWindow="0" yWindow="0" windowWidth="28080" windowHeight="16440" tabRatio="500"/>
  </bookViews>
  <sheets>
    <sheet name="Saisie" sheetId="1" r:id="rId1"/>
    <sheet name="Traitement Macro" sheetId="2" r:id="rId2"/>
  </sheets>
  <calcPr calcId="15251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2" l="1"/>
  <c r="E26" i="1"/>
  <c r="E30" i="1"/>
  <c r="E31" i="1"/>
  <c r="E32" i="1"/>
  <c r="E33" i="1"/>
  <c r="F33" i="1"/>
  <c r="E28" i="1"/>
  <c r="E29" i="1"/>
  <c r="F29" i="1"/>
  <c r="E24" i="1"/>
  <c r="E25" i="1"/>
  <c r="E27" i="1"/>
  <c r="F27" i="1"/>
  <c r="E21" i="1"/>
  <c r="E22" i="1"/>
  <c r="E23" i="1"/>
  <c r="F23" i="1"/>
  <c r="E14" i="1"/>
  <c r="E15" i="1"/>
  <c r="E16" i="1"/>
  <c r="E17" i="1"/>
  <c r="E18" i="1"/>
  <c r="E19" i="1"/>
  <c r="F19" i="1"/>
  <c r="E7" i="1"/>
  <c r="E9" i="1"/>
  <c r="E11" i="1"/>
  <c r="E12" i="1"/>
  <c r="E8" i="1"/>
  <c r="E10" i="1"/>
  <c r="E13" i="1"/>
  <c r="F13" i="1"/>
  <c r="E20" i="1"/>
</calcChain>
</file>

<file path=xl/sharedStrings.xml><?xml version="1.0" encoding="utf-8"?>
<sst xmlns="http://schemas.openxmlformats.org/spreadsheetml/2006/main" count="94" uniqueCount="83">
  <si>
    <t>Inscription du volet économique dans les documents d’urbanisme (PLU, Contrat de Ville, Protocole de préfiguration)</t>
  </si>
  <si>
    <t>Nature des relations Ville/EPCI</t>
  </si>
  <si>
    <t>Dynamique territoriale à l’échelle de l’EPCI</t>
  </si>
  <si>
    <t>Avancement des réflexions urbaines</t>
  </si>
  <si>
    <t>Structuration de la gouvernance et du pilotage de projet</t>
  </si>
  <si>
    <t>Cadre politique et gouvernance</t>
  </si>
  <si>
    <t>Mobilisation possible d’une SEM locale ou départementale</t>
  </si>
  <si>
    <t>Contribution à l’objectif de rééquilibrage géographique des interventions d’Epareca</t>
  </si>
  <si>
    <t>EPCI stratégique pour l’établissement</t>
  </si>
  <si>
    <t>Compétences techniques des équipes</t>
  </si>
  <si>
    <t>Expérience acquise par l’établissement</t>
  </si>
  <si>
    <t>Appétence des bailleurs sociaux pour l’économique</t>
  </si>
  <si>
    <t>Pertinence de l'EPARECA comme acteur</t>
  </si>
  <si>
    <t>Caractéristiques de la structure immobilière</t>
  </si>
  <si>
    <t>Statut de propriété du site</t>
  </si>
  <si>
    <t>Opportunités foncières mobilisables</t>
  </si>
  <si>
    <t>Mobilisation envisagée d'un EPF</t>
  </si>
  <si>
    <t>Configuration foncière</t>
  </si>
  <si>
    <t>1ère saisine/Réactivation</t>
  </si>
  <si>
    <t>Saisine spontanée/induite</t>
  </si>
  <si>
    <t>Localisation du site (QPV?)</t>
  </si>
  <si>
    <t>Niveau de vacance des locaux commerciaux à l’échelle du quartier pondéré par la taille des pôles</t>
  </si>
  <si>
    <t>Necessité d'action</t>
  </si>
  <si>
    <t>Scoring de la collectivité</t>
  </si>
  <si>
    <t>Soutiens financiers envisageables</t>
  </si>
  <si>
    <t>Cadre économique</t>
  </si>
  <si>
    <t>Capacité de rayonnement (proximité, quartier, quartier élargi)</t>
  </si>
  <si>
    <t>Offre alternative proche et accessible</t>
  </si>
  <si>
    <t>Couverture commerciale (nombre de commerces pour 100 ménages)</t>
  </si>
  <si>
    <t>Diversité commerciale appréciée en fonction du poids de chaque secteur d’activité</t>
  </si>
  <si>
    <t>Caractéristiques du marché</t>
  </si>
  <si>
    <t>Oui</t>
  </si>
  <si>
    <t>Non</t>
  </si>
  <si>
    <t>Faible</t>
  </si>
  <si>
    <t>Moyen</t>
  </si>
  <si>
    <t>Fort</t>
  </si>
  <si>
    <t>QPV</t>
  </si>
  <si>
    <t>QIR / PNRQAD</t>
  </si>
  <si>
    <t>QIN</t>
  </si>
  <si>
    <t>Classement du quartier en politique de la ville (QPV simple, QIR, QIN, PNRQAD)</t>
  </si>
  <si>
    <t>ZFU-TE ?</t>
  </si>
  <si>
    <t>À lancer</t>
  </si>
  <si>
    <t>En cours ou achevée</t>
  </si>
  <si>
    <t>Bonne</t>
  </si>
  <si>
    <t>Mauvaise</t>
  </si>
  <si>
    <t>1ère saisine</t>
  </si>
  <si>
    <t>Réactivation</t>
  </si>
  <si>
    <t>Induite</t>
  </si>
  <si>
    <t>Spontanée</t>
  </si>
  <si>
    <t>ESS</t>
  </si>
  <si>
    <t>Centre ancien / projet artisanal</t>
  </si>
  <si>
    <t>Problématique commerciale dans un quartier d'habiat social</t>
  </si>
  <si>
    <t>À la frange du QPV et impact limité sur la population</t>
  </si>
  <si>
    <t>À la frange du QPV mais fonction de desserte du quartier</t>
  </si>
  <si>
    <t>Dans le QPV</t>
  </si>
  <si>
    <t>Proximité</t>
  </si>
  <si>
    <t>Quartier</t>
  </si>
  <si>
    <t>Quartier élargi</t>
  </si>
  <si>
    <t>Rez-de-chaussées d'immeubles / structure imbriquée</t>
  </si>
  <si>
    <t>Centre commercial isolé</t>
  </si>
  <si>
    <t>Copropriétés / ensemble de propriétaires privés</t>
  </si>
  <si>
    <t>Propriétaire privé unique</t>
  </si>
  <si>
    <t>Propriétaire public</t>
  </si>
  <si>
    <t>Limitées ou dépendantes du PRU</t>
  </si>
  <si>
    <t>Identifiées mais restant à maîtriser</t>
  </si>
  <si>
    <t>Maîtrisées par la collectivité</t>
  </si>
  <si>
    <t>/13</t>
  </si>
  <si>
    <t xml:space="preserve">Cadre politique et gouvernance </t>
  </si>
  <si>
    <t>/10</t>
  </si>
  <si>
    <t>/5</t>
  </si>
  <si>
    <t>/4</t>
  </si>
  <si>
    <t>/8</t>
  </si>
  <si>
    <t>Question</t>
  </si>
  <si>
    <t>Réponse</t>
  </si>
  <si>
    <t>/6</t>
  </si>
  <si>
    <t>Notes</t>
  </si>
  <si>
    <t>Chemin:</t>
  </si>
  <si>
    <t xml:space="preserve">Nom de l'opération : </t>
  </si>
  <si>
    <t xml:space="preserve">Communes : </t>
  </si>
  <si>
    <t xml:space="preserve">Date du conseil d'administration : </t>
  </si>
  <si>
    <t>Nom:</t>
  </si>
  <si>
    <t>Chemin + Nom</t>
  </si>
  <si>
    <t xml:space="preserve">Nom du fichier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</si>
</sst>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2"/>
      <color theme="1"/>
      <name val="Calibri"/>
      <family val="2"/>
      <charset val="134"/>
      <scheme val="minor"/>
    </font>
    <font>
      <sz val="12"/>
      <color rgb="FF000000"/>
      <name val="Arial"/>
    </font>
    <font>
      <u/>
      <sz val="12"/>
      <color theme="10"/>
      <name val="Calibri"/>
      <family val="2"/>
      <charset val="134"/>
      <scheme val="minor"/>
    </font>
    <font>
      <u/>
      <sz val="12"/>
      <color theme="11"/>
      <name val="Calibri"/>
      <family val="2"/>
      <charset val="134"/>
      <scheme val="minor"/>
    </font>
    <font>
      <b/>
      <sz val="20"/>
      <color theme="1"/>
      <name val="Calibri"/>
      <scheme val="minor"/>
    </font>
    <font>
      <sz val="12"/>
      <name val="Calibri"/>
      <family val="2"/>
      <charset val="134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3" borderId="1" xfId="0" applyFill="1" applyBorder="1" applyAlignment="1">
      <alignment horizontal="right"/>
    </xf>
    <xf numFmtId="0" fontId="0" fillId="3" borderId="3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1" xfId="0" applyFill="1" applyBorder="1" applyAlignment="1">
      <alignment horizontal="right"/>
    </xf>
    <xf numFmtId="0" fontId="0" fillId="4" borderId="3" xfId="0" applyFill="1" applyBorder="1"/>
    <xf numFmtId="0" fontId="0" fillId="4" borderId="6" xfId="0" applyFill="1" applyBorder="1"/>
    <xf numFmtId="0" fontId="0" fillId="4" borderId="8" xfId="0" applyFill="1" applyBorder="1"/>
    <xf numFmtId="0" fontId="4" fillId="2" borderId="10" xfId="0" applyFont="1" applyFill="1" applyBorder="1" applyAlignment="1">
      <alignment horizontal="center"/>
    </xf>
    <xf numFmtId="0" fontId="0" fillId="2" borderId="9" xfId="0" applyFill="1" applyBorder="1"/>
    <xf numFmtId="0" fontId="4" fillId="2" borderId="11" xfId="0" applyFont="1" applyFill="1" applyBorder="1" applyAlignment="1">
      <alignment horizontal="center"/>
    </xf>
    <xf numFmtId="0" fontId="1" fillId="5" borderId="0" xfId="0" applyFont="1" applyFill="1" applyBorder="1"/>
    <xf numFmtId="0" fontId="1" fillId="5" borderId="13" xfId="0" applyFont="1" applyFill="1" applyBorder="1"/>
    <xf numFmtId="0" fontId="0" fillId="0" borderId="14" xfId="0" applyBorder="1"/>
    <xf numFmtId="0" fontId="1" fillId="5" borderId="16" xfId="0" applyFont="1" applyFill="1" applyBorder="1"/>
    <xf numFmtId="0" fontId="0" fillId="0" borderId="17" xfId="0" applyBorder="1"/>
    <xf numFmtId="0" fontId="1" fillId="5" borderId="2" xfId="0" applyFont="1" applyFill="1" applyBorder="1" applyAlignment="1">
      <alignment wrapText="1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/>
    <xf numFmtId="0" fontId="1" fillId="5" borderId="13" xfId="0" applyFont="1" applyFill="1" applyBorder="1" applyAlignment="1">
      <alignment wrapText="1"/>
    </xf>
    <xf numFmtId="0" fontId="1" fillId="5" borderId="7" xfId="0" applyFont="1" applyFill="1" applyBorder="1"/>
    <xf numFmtId="0" fontId="0" fillId="5" borderId="0" xfId="0" applyFill="1" applyBorder="1"/>
    <xf numFmtId="0" fontId="0" fillId="0" borderId="0" xfId="0" applyBorder="1"/>
    <xf numFmtId="0" fontId="0" fillId="5" borderId="2" xfId="0" applyFill="1" applyBorder="1"/>
    <xf numFmtId="0" fontId="6" fillId="5" borderId="1" xfId="0" applyFont="1" applyFill="1" applyBorder="1" applyAlignment="1">
      <alignment horizontal="right"/>
    </xf>
    <xf numFmtId="0" fontId="6" fillId="5" borderId="4" xfId="0" applyFont="1" applyFill="1" applyBorder="1" applyAlignment="1">
      <alignment horizontal="right"/>
    </xf>
    <xf numFmtId="0" fontId="6" fillId="5" borderId="6" xfId="0" applyFont="1" applyFill="1" applyBorder="1" applyAlignment="1">
      <alignment horizontal="right"/>
    </xf>
    <xf numFmtId="0" fontId="0" fillId="0" borderId="3" xfId="0" applyFill="1" applyBorder="1"/>
    <xf numFmtId="0" fontId="0" fillId="0" borderId="5" xfId="0" applyFill="1" applyBorder="1"/>
    <xf numFmtId="0" fontId="0" fillId="0" borderId="8" xfId="0" applyFill="1" applyBorder="1"/>
    <xf numFmtId="0" fontId="0" fillId="5" borderId="18" xfId="0" applyFill="1" applyBorder="1"/>
  </cellXfs>
  <cellStyles count="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33</xdr:row>
          <xdr:rowOff>180976</xdr:rowOff>
        </xdr:from>
        <xdr:to>
          <xdr:col>5</xdr:col>
          <xdr:colOff>9525</xdr:colOff>
          <xdr:row>38</xdr:row>
          <xdr:rowOff>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Terminer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1028699</xdr:colOff>
          <xdr:row>36</xdr:row>
          <xdr:rowOff>9525</xdr:rowOff>
        </xdr:from>
        <xdr:to>
          <xdr:col>6</xdr:col>
          <xdr:colOff>304799</xdr:colOff>
          <xdr:row>37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Réinitialiser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39"/>
  <sheetViews>
    <sheetView tabSelected="1" workbookViewId="0">
      <selection activeCell="D17" sqref="D17"/>
    </sheetView>
  </sheetViews>
  <sheetFormatPr defaultColWidth="11" defaultRowHeight="15.75"/>
  <cols>
    <col min="1" max="1" width="3.375" customWidth="1"/>
    <col min="2" max="2" width="19.5" customWidth="1"/>
    <col min="3" max="3" width="74.625" customWidth="1"/>
    <col min="4" max="4" width="51.5" customWidth="1"/>
    <col min="5" max="5" width="10.875" hidden="1" customWidth="1"/>
    <col min="6" max="6" width="35.625" customWidth="1"/>
    <col min="7" max="7" width="4" customWidth="1"/>
    <col min="8" max="8" width="26.125" customWidth="1"/>
    <col min="9" max="9" width="0" hidden="1" customWidth="1"/>
  </cols>
  <sheetData>
    <row r="1" spans="2:9">
      <c r="C1" s="36" t="s">
        <v>77</v>
      </c>
      <c r="D1" s="39"/>
      <c r="E1" s="35"/>
    </row>
    <row r="2" spans="2:9">
      <c r="C2" s="37" t="s">
        <v>78</v>
      </c>
      <c r="D2" s="40"/>
      <c r="E2" s="33"/>
    </row>
    <row r="3" spans="2:9">
      <c r="C3" s="37" t="s">
        <v>79</v>
      </c>
      <c r="D3" s="40"/>
      <c r="E3" s="33"/>
    </row>
    <row r="4" spans="2:9" ht="16.5" thickBot="1">
      <c r="C4" s="38" t="s">
        <v>82</v>
      </c>
      <c r="D4" s="41"/>
      <c r="E4" s="42"/>
      <c r="F4" s="34"/>
    </row>
    <row r="5" spans="2:9" ht="16.5" thickBot="1"/>
    <row r="6" spans="2:9" ht="27" thickBot="1">
      <c r="B6" s="13"/>
      <c r="C6" s="14" t="s">
        <v>72</v>
      </c>
      <c r="D6" s="12" t="s">
        <v>73</v>
      </c>
      <c r="F6" s="21" t="s">
        <v>75</v>
      </c>
      <c r="G6" s="22"/>
    </row>
    <row r="7" spans="2:9" ht="30" customHeight="1">
      <c r="B7" s="23" t="s">
        <v>5</v>
      </c>
      <c r="C7" s="20" t="s">
        <v>0</v>
      </c>
      <c r="D7" s="1"/>
      <c r="E7">
        <f>IF(D7=I$11,2,0) + IF(D7=I$10,1,0) +0</f>
        <v>0</v>
      </c>
      <c r="I7" t="s">
        <v>31</v>
      </c>
    </row>
    <row r="8" spans="2:9">
      <c r="B8" s="24"/>
      <c r="C8" s="15" t="s">
        <v>1</v>
      </c>
      <c r="D8" s="2"/>
      <c r="E8">
        <f>IF(D8=I17,2,0)</f>
        <v>0</v>
      </c>
      <c r="I8" t="s">
        <v>32</v>
      </c>
    </row>
    <row r="9" spans="2:9">
      <c r="B9" s="24"/>
      <c r="C9" s="15" t="s">
        <v>2</v>
      </c>
      <c r="D9" s="2"/>
      <c r="E9">
        <f>IF(D9=I$11,2,0) + IF(D9=I$10,1,0) +0</f>
        <v>0</v>
      </c>
      <c r="I9" t="s">
        <v>33</v>
      </c>
    </row>
    <row r="10" spans="2:9">
      <c r="B10" s="24"/>
      <c r="C10" s="15" t="s">
        <v>3</v>
      </c>
      <c r="D10" s="2"/>
      <c r="E10">
        <f>IF(D10=I16,2,0)</f>
        <v>0</v>
      </c>
      <c r="I10" t="s">
        <v>34</v>
      </c>
    </row>
    <row r="11" spans="2:9" ht="16.5" thickBot="1">
      <c r="B11" s="24"/>
      <c r="C11" s="15" t="s">
        <v>4</v>
      </c>
      <c r="D11" s="2"/>
      <c r="E11">
        <f>IF(D11=I$11,2,0) + IF(D11=I$10,1,0) +0</f>
        <v>0</v>
      </c>
      <c r="I11" t="s">
        <v>35</v>
      </c>
    </row>
    <row r="12" spans="2:9">
      <c r="B12" s="24"/>
      <c r="C12" s="15" t="s">
        <v>39</v>
      </c>
      <c r="D12" s="2"/>
      <c r="E12">
        <f>IF(D12=I13,1,0) + IF(D12=I14,2,0)</f>
        <v>0</v>
      </c>
      <c r="F12" s="4" t="s">
        <v>67</v>
      </c>
      <c r="G12" s="5"/>
      <c r="I12" t="s">
        <v>36</v>
      </c>
    </row>
    <row r="13" spans="2:9" ht="16.5" thickBot="1">
      <c r="B13" s="25"/>
      <c r="C13" s="16" t="s">
        <v>40</v>
      </c>
      <c r="D13" s="17"/>
      <c r="E13">
        <f>IF(D13=I$7,1,0)</f>
        <v>0</v>
      </c>
      <c r="F13" s="6">
        <f>SUM(E7:E13)</f>
        <v>0</v>
      </c>
      <c r="G13" s="7" t="s">
        <v>66</v>
      </c>
      <c r="I13" t="s">
        <v>37</v>
      </c>
    </row>
    <row r="14" spans="2:9">
      <c r="B14" s="26" t="s">
        <v>12</v>
      </c>
      <c r="C14" s="18" t="s">
        <v>6</v>
      </c>
      <c r="D14" s="19"/>
      <c r="E14">
        <f>IF(D14=I8,1,0)</f>
        <v>0</v>
      </c>
      <c r="I14" t="s">
        <v>38</v>
      </c>
    </row>
    <row r="15" spans="2:9">
      <c r="B15" s="24"/>
      <c r="C15" s="15" t="s">
        <v>7</v>
      </c>
      <c r="D15" s="2"/>
      <c r="E15">
        <f>IF(D15=I$7,2,0)</f>
        <v>0</v>
      </c>
      <c r="I15" t="s">
        <v>41</v>
      </c>
    </row>
    <row r="16" spans="2:9">
      <c r="B16" s="24"/>
      <c r="C16" s="15" t="s">
        <v>8</v>
      </c>
      <c r="D16" s="2"/>
      <c r="E16">
        <f>IF(D16=I$7,2,0)</f>
        <v>0</v>
      </c>
      <c r="I16" t="s">
        <v>42</v>
      </c>
    </row>
    <row r="17" spans="2:9" ht="16.5" thickBot="1">
      <c r="B17" s="24"/>
      <c r="C17" s="15" t="s">
        <v>9</v>
      </c>
      <c r="D17" s="2"/>
      <c r="E17">
        <f>IF(D17=I$11,2,0) + IF(D17=I$10,1,0) +0</f>
        <v>0</v>
      </c>
      <c r="I17" t="s">
        <v>43</v>
      </c>
    </row>
    <row r="18" spans="2:9">
      <c r="B18" s="24"/>
      <c r="C18" s="15" t="s">
        <v>10</v>
      </c>
      <c r="D18" s="2"/>
      <c r="E18">
        <f>IF(D18=I25,2,0) + IF(D18=I24,1,0)</f>
        <v>0</v>
      </c>
      <c r="F18" s="8" t="s">
        <v>12</v>
      </c>
      <c r="G18" s="9"/>
      <c r="I18" t="s">
        <v>44</v>
      </c>
    </row>
    <row r="19" spans="2:9" ht="16.5" thickBot="1">
      <c r="B19" s="25"/>
      <c r="C19" s="16" t="s">
        <v>11</v>
      </c>
      <c r="D19" s="17"/>
      <c r="E19">
        <f>IF(D19=I8,1,0)</f>
        <v>0</v>
      </c>
      <c r="F19" s="10">
        <f>SUM(E14:E19)</f>
        <v>0</v>
      </c>
      <c r="G19" s="11" t="s">
        <v>68</v>
      </c>
      <c r="I19" t="s">
        <v>45</v>
      </c>
    </row>
    <row r="20" spans="2:9">
      <c r="B20" s="26" t="s">
        <v>17</v>
      </c>
      <c r="C20" s="18" t="s">
        <v>13</v>
      </c>
      <c r="D20" s="19"/>
      <c r="E20">
        <f>IF(D20=I33,2,0)</f>
        <v>0</v>
      </c>
      <c r="I20" t="s">
        <v>46</v>
      </c>
    </row>
    <row r="21" spans="2:9" ht="16.5" thickBot="1">
      <c r="B21" s="24"/>
      <c r="C21" s="15" t="s">
        <v>14</v>
      </c>
      <c r="D21" s="2"/>
      <c r="E21">
        <f>IF(D21=I36,2,0) + IF(D21=I35,1,0)</f>
        <v>0</v>
      </c>
      <c r="I21" t="s">
        <v>47</v>
      </c>
    </row>
    <row r="22" spans="2:9">
      <c r="B22" s="24"/>
      <c r="C22" s="15" t="s">
        <v>15</v>
      </c>
      <c r="D22" s="2"/>
      <c r="E22">
        <f>IF(D22=I39,2,0) + IF(D22=I38,1,0)</f>
        <v>0</v>
      </c>
      <c r="F22" s="4" t="s">
        <v>17</v>
      </c>
      <c r="G22" s="5"/>
      <c r="I22" t="s">
        <v>48</v>
      </c>
    </row>
    <row r="23" spans="2:9" ht="16.5" thickBot="1">
      <c r="B23" s="25"/>
      <c r="C23" s="16" t="s">
        <v>16</v>
      </c>
      <c r="D23" s="17"/>
      <c r="E23">
        <f>IF(D23=I$7,1,0)</f>
        <v>0</v>
      </c>
      <c r="F23" s="6">
        <f>SUM(E21:E23)</f>
        <v>0</v>
      </c>
      <c r="G23" s="7" t="s">
        <v>69</v>
      </c>
      <c r="I23" t="s">
        <v>49</v>
      </c>
    </row>
    <row r="24" spans="2:9">
      <c r="B24" s="26" t="s">
        <v>22</v>
      </c>
      <c r="C24" s="18" t="s">
        <v>18</v>
      </c>
      <c r="D24" s="19"/>
      <c r="E24">
        <f>IF(D24=I19,1,0)</f>
        <v>0</v>
      </c>
      <c r="I24" t="s">
        <v>50</v>
      </c>
    </row>
    <row r="25" spans="2:9" ht="16.5" thickBot="1">
      <c r="B25" s="24"/>
      <c r="C25" s="15" t="s">
        <v>19</v>
      </c>
      <c r="D25" s="2"/>
      <c r="E25">
        <f>IF(D25=I22,1,0)</f>
        <v>0</v>
      </c>
      <c r="I25" t="s">
        <v>51</v>
      </c>
    </row>
    <row r="26" spans="2:9">
      <c r="B26" s="24"/>
      <c r="C26" s="15" t="s">
        <v>20</v>
      </c>
      <c r="D26" s="2"/>
      <c r="E26">
        <f>IF(D26=I28,2,0) + IF(D26=I27,1,0)</f>
        <v>0</v>
      </c>
      <c r="F26" s="8" t="s">
        <v>22</v>
      </c>
      <c r="G26" s="9"/>
      <c r="I26" t="s">
        <v>52</v>
      </c>
    </row>
    <row r="27" spans="2:9" ht="30" customHeight="1" thickBot="1">
      <c r="B27" s="25"/>
      <c r="C27" s="31" t="s">
        <v>21</v>
      </c>
      <c r="D27" s="17"/>
      <c r="E27">
        <f>IF(D27=I$11,2,0) + IF(D27=I$10,1,0) +0</f>
        <v>0</v>
      </c>
      <c r="F27" s="10">
        <f>SUM(E24:E27)</f>
        <v>0</v>
      </c>
      <c r="G27" s="11" t="s">
        <v>74</v>
      </c>
      <c r="I27" t="s">
        <v>53</v>
      </c>
    </row>
    <row r="28" spans="2:9">
      <c r="B28" s="26" t="s">
        <v>25</v>
      </c>
      <c r="C28" s="18" t="s">
        <v>23</v>
      </c>
      <c r="D28" s="19"/>
      <c r="E28">
        <f>IF(D28&gt;0.6,1,0) + IF(D28&gt;0.35,1,0)</f>
        <v>0</v>
      </c>
      <c r="F28" s="4" t="s">
        <v>25</v>
      </c>
      <c r="G28" s="5"/>
      <c r="I28" t="s">
        <v>54</v>
      </c>
    </row>
    <row r="29" spans="2:9" ht="16.5" thickBot="1">
      <c r="B29" s="25"/>
      <c r="C29" s="16" t="s">
        <v>24</v>
      </c>
      <c r="D29" s="17"/>
      <c r="E29">
        <f>IF(D29=I7,2,0)</f>
        <v>0</v>
      </c>
      <c r="F29" s="6">
        <f>SUM(E28:E29)</f>
        <v>0</v>
      </c>
      <c r="G29" s="7" t="s">
        <v>70</v>
      </c>
      <c r="I29" t="s">
        <v>55</v>
      </c>
    </row>
    <row r="30" spans="2:9">
      <c r="B30" s="24" t="s">
        <v>30</v>
      </c>
      <c r="C30" s="15" t="s">
        <v>26</v>
      </c>
      <c r="D30" s="2"/>
      <c r="E30">
        <f>IF(D30=I31,2,0) + IF(D30=I30,1,0)</f>
        <v>0</v>
      </c>
      <c r="I30" t="s">
        <v>56</v>
      </c>
    </row>
    <row r="31" spans="2:9" ht="16.5" thickBot="1">
      <c r="B31" s="24"/>
      <c r="C31" s="15" t="s">
        <v>27</v>
      </c>
      <c r="D31" s="2"/>
      <c r="E31">
        <f>IF(D31=I$9,2,0) + IF(D31=I$10,1,0)</f>
        <v>0</v>
      </c>
      <c r="I31" t="s">
        <v>57</v>
      </c>
    </row>
    <row r="32" spans="2:9">
      <c r="B32" s="24"/>
      <c r="C32" s="15" t="s">
        <v>28</v>
      </c>
      <c r="D32" s="2"/>
      <c r="E32">
        <f>IF(D32=I$9,2,0) + IF(D32=I$10,1,0)</f>
        <v>0</v>
      </c>
      <c r="F32" s="8" t="s">
        <v>30</v>
      </c>
      <c r="G32" s="9"/>
      <c r="I32" t="s">
        <v>58</v>
      </c>
    </row>
    <row r="33" spans="2:9" ht="16.5" thickBot="1">
      <c r="B33" s="27"/>
      <c r="C33" s="32" t="s">
        <v>29</v>
      </c>
      <c r="D33" s="3"/>
      <c r="E33">
        <f>IF(D33=I$9,2,0) + IF(D33=I$10,1,0)</f>
        <v>0</v>
      </c>
      <c r="F33" s="10">
        <f>SUM(E30:E33)</f>
        <v>0</v>
      </c>
      <c r="G33" s="11" t="s">
        <v>71</v>
      </c>
      <c r="I33" t="s">
        <v>59</v>
      </c>
    </row>
    <row r="34" spans="2:9">
      <c r="I34" t="s">
        <v>60</v>
      </c>
    </row>
    <row r="35" spans="2:9">
      <c r="I35" t="s">
        <v>61</v>
      </c>
    </row>
    <row r="36" spans="2:9">
      <c r="I36" t="s">
        <v>62</v>
      </c>
    </row>
    <row r="37" spans="2:9">
      <c r="I37" t="s">
        <v>63</v>
      </c>
    </row>
    <row r="38" spans="2:9">
      <c r="I38" t="s">
        <v>64</v>
      </c>
    </row>
    <row r="39" spans="2:9">
      <c r="I39" t="s">
        <v>65</v>
      </c>
    </row>
  </sheetData>
  <mergeCells count="7">
    <mergeCell ref="B28:B29"/>
    <mergeCell ref="B30:B33"/>
    <mergeCell ref="F6:G6"/>
    <mergeCell ref="B7:B13"/>
    <mergeCell ref="B14:B19"/>
    <mergeCell ref="B20:B23"/>
    <mergeCell ref="B24:B27"/>
  </mergeCells>
  <dataValidations count="13">
    <dataValidation type="list" allowBlank="1" showInputMessage="1" showErrorMessage="1" sqref="D8">
      <formula1>$I$17:$I$18</formula1>
    </dataValidation>
    <dataValidation type="list" allowBlank="1" showInputMessage="1" showErrorMessage="1" sqref="D10">
      <formula1>$I$15:$I$16</formula1>
    </dataValidation>
    <dataValidation type="list" allowBlank="1" showInputMessage="1" showErrorMessage="1" sqref="D7 D9 D31:D33 D27 D17 D11">
      <formula1>$I$9:$I$11</formula1>
    </dataValidation>
    <dataValidation type="list" allowBlank="1" showInputMessage="1" showErrorMessage="1" sqref="D12">
      <formula1>$I$12:$I$14</formula1>
    </dataValidation>
    <dataValidation type="list" allowBlank="1" showInputMessage="1" showErrorMessage="1" sqref="D29 D23 D19 D13:D16">
      <formula1>$I$7:$I$8</formula1>
    </dataValidation>
    <dataValidation type="list" allowBlank="1" showInputMessage="1" showErrorMessage="1" sqref="D18">
      <formula1>$I$23:$I$25</formula1>
    </dataValidation>
    <dataValidation type="list" allowBlank="1" showInputMessage="1" showErrorMessage="1" sqref="D20">
      <formula1>$I$32:$I$33</formula1>
    </dataValidation>
    <dataValidation type="list" allowBlank="1" showInputMessage="1" showErrorMessage="1" sqref="D21">
      <formula1>$I$34:$I$36</formula1>
    </dataValidation>
    <dataValidation type="list" allowBlank="1" showInputMessage="1" showErrorMessage="1" sqref="D22">
      <formula1>$I$37:$I$39</formula1>
    </dataValidation>
    <dataValidation type="list" allowBlank="1" showInputMessage="1" showErrorMessage="1" sqref="D24">
      <formula1>$I$19:$I$20</formula1>
    </dataValidation>
    <dataValidation type="list" allowBlank="1" showInputMessage="1" showErrorMessage="1" sqref="D25">
      <formula1>$I$21:$I$22</formula1>
    </dataValidation>
    <dataValidation type="list" allowBlank="1" showInputMessage="1" showErrorMessage="1" sqref="D30">
      <formula1>$I$29:$I$31</formula1>
    </dataValidation>
    <dataValidation type="list" allowBlank="1" showInputMessage="1" showErrorMessage="1" sqref="D26">
      <formula1>$I$26:$I$28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cup">
                <anchor moveWithCells="1" sizeWithCells="1">
                  <from>
                    <xdr:col>3</xdr:col>
                    <xdr:colOff>9525</xdr:colOff>
                    <xdr:row>33</xdr:row>
                    <xdr:rowOff>180975</xdr:rowOff>
                  </from>
                  <to>
                    <xdr:col>5</xdr:col>
                    <xdr:colOff>9525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Reinitialiser">
                <anchor moveWithCells="1" sizeWithCells="1">
                  <from>
                    <xdr:col>5</xdr:col>
                    <xdr:colOff>1028700</xdr:colOff>
                    <xdr:row>36</xdr:row>
                    <xdr:rowOff>9525</xdr:rowOff>
                  </from>
                  <to>
                    <xdr:col>6</xdr:col>
                    <xdr:colOff>304800</xdr:colOff>
                    <xdr:row>37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"/>
  <sheetViews>
    <sheetView workbookViewId="0">
      <selection activeCell="B13" sqref="B13"/>
    </sheetView>
  </sheetViews>
  <sheetFormatPr defaultRowHeight="15.75"/>
  <cols>
    <col min="1" max="1" width="27.25" bestFit="1" customWidth="1"/>
    <col min="2" max="2" width="33.75" bestFit="1" customWidth="1"/>
    <col min="3" max="3" width="19.25" bestFit="1" customWidth="1"/>
    <col min="4" max="4" width="16" bestFit="1" customWidth="1"/>
    <col min="5" max="5" width="16.125" bestFit="1" customWidth="1"/>
    <col min="6" max="6" width="23.5" bestFit="1" customWidth="1"/>
  </cols>
  <sheetData>
    <row r="1" spans="1:6" s="30" customFormat="1">
      <c r="A1" s="28" t="s">
        <v>67</v>
      </c>
      <c r="B1" s="29" t="s">
        <v>12</v>
      </c>
      <c r="C1" s="29" t="s">
        <v>17</v>
      </c>
      <c r="D1" s="29" t="s">
        <v>22</v>
      </c>
      <c r="E1" s="29" t="s">
        <v>25</v>
      </c>
      <c r="F1" s="29" t="s">
        <v>30</v>
      </c>
    </row>
    <row r="4" spans="1:6">
      <c r="A4" t="s">
        <v>76</v>
      </c>
    </row>
    <row r="5" spans="1:6">
      <c r="A5" t="s">
        <v>80</v>
      </c>
    </row>
    <row r="6" spans="1:6">
      <c r="A6" t="s">
        <v>81</v>
      </c>
      <c r="B6" t="str">
        <f>CONCATENATE(B4,B5,".csv")</f>
        <v>.csv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Saisie</vt:lpstr>
      <vt:lpstr>Traitement Macro</vt:lpstr>
    </vt:vector>
  </TitlesOfParts>
  <Company>Blablabla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Pierre</dc:creator>
  <cp:lastModifiedBy>Nssm</cp:lastModifiedBy>
  <dcterms:created xsi:type="dcterms:W3CDTF">2018-05-09T12:30:40Z</dcterms:created>
  <dcterms:modified xsi:type="dcterms:W3CDTF">2018-05-15T09:28:11Z</dcterms:modified>
</cp:coreProperties>
</file>