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ssm\Documents\ENPC\VET\S4\TAMUR\QGIS\"/>
    </mc:Choice>
  </mc:AlternateContent>
  <bookViews>
    <workbookView xWindow="0" yWindow="0" windowWidth="23940" windowHeight="8100"/>
  </bookViews>
  <sheets>
    <sheet name="Statistiques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9" i="1" l="1"/>
  <c r="R9" i="1"/>
  <c r="Q9" i="1"/>
  <c r="P9" i="1"/>
  <c r="O9" i="1"/>
  <c r="N9" i="1"/>
  <c r="M9" i="1"/>
  <c r="L9" i="1"/>
  <c r="K9" i="1"/>
  <c r="J9" i="1"/>
  <c r="S8" i="1"/>
  <c r="R8" i="1"/>
  <c r="Q8" i="1"/>
  <c r="P8" i="1"/>
  <c r="O8" i="1"/>
  <c r="N8" i="1"/>
  <c r="M8" i="1"/>
  <c r="L8" i="1"/>
  <c r="K8" i="1"/>
  <c r="J8" i="1"/>
  <c r="S7" i="1"/>
  <c r="R7" i="1"/>
  <c r="Q7" i="1"/>
  <c r="P7" i="1"/>
  <c r="O7" i="1"/>
  <c r="N7" i="1"/>
  <c r="M7" i="1"/>
  <c r="L7" i="1"/>
  <c r="K7" i="1"/>
  <c r="J7" i="1"/>
  <c r="S6" i="1"/>
  <c r="R6" i="1"/>
  <c r="Q6" i="1"/>
  <c r="P6" i="1"/>
  <c r="O6" i="1"/>
  <c r="N6" i="1"/>
  <c r="M6" i="1"/>
  <c r="L6" i="1"/>
  <c r="K6" i="1"/>
  <c r="J6" i="1"/>
  <c r="S5" i="1"/>
  <c r="R5" i="1"/>
  <c r="Q5" i="1"/>
  <c r="P5" i="1"/>
  <c r="O5" i="1"/>
  <c r="N5" i="1"/>
  <c r="M5" i="1"/>
  <c r="L5" i="1"/>
  <c r="K5" i="1"/>
  <c r="J5" i="1"/>
</calcChain>
</file>

<file path=xl/sharedStrings.xml><?xml version="1.0" encoding="utf-8"?>
<sst xmlns="http://schemas.openxmlformats.org/spreadsheetml/2006/main" count="25" uniqueCount="20">
  <si>
    <t>Accessibilité VP</t>
  </si>
  <si>
    <t>Accessibilité TC</t>
  </si>
  <si>
    <t>Points d'intérêt</t>
  </si>
  <si>
    <t>Couverture commerciale</t>
  </si>
  <si>
    <t>Statistiques des indicateurs</t>
  </si>
  <si>
    <t>Dossier</t>
  </si>
  <si>
    <t>Déciles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</si>
  <si>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</si>
  <si>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</si>
  <si>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</si>
  <si>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</si>
  <si>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</si>
  <si>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</si>
  <si>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</si>
  <si>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</si>
  <si>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</si>
  <si>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</si>
  <si>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Exporter vers :</t>
  </si>
  <si>
    <t>Potentiel commercial</t>
  </si>
  <si>
    <t>C:\Users\Nssm\Documents\ENPC\VET\S4\TAMUR\QGIS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</si>
</sst>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/>
    <xf numFmtId="0" fontId="0" fillId="0" borderId="1" xfId="0" applyBorder="1"/>
    <xf numFmtId="0" fontId="0" fillId="0" borderId="2" xfId="0" applyBorder="1"/>
    <xf numFmtId="0" fontId="2" fillId="2" borderId="4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13" xfId="0" applyBorder="1" applyAlignment="1">
      <alignment horizontal="left" vertical="center"/>
    </xf>
    <xf numFmtId="0" fontId="0" fillId="3" borderId="12" xfId="0" applyFill="1" applyBorder="1" applyAlignment="1">
      <alignment horizontal="left" vertical="center"/>
    </xf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3" xfId="0" applyFill="1" applyBorder="1" applyAlignment="1">
      <alignment horizontal="left" vertical="center"/>
    </xf>
    <xf numFmtId="0" fontId="0" fillId="3" borderId="2" xfId="0" applyFill="1" applyBorder="1"/>
    <xf numFmtId="0" fontId="0" fillId="3" borderId="0" xfId="0" applyFill="1" applyBorder="1"/>
    <xf numFmtId="0" fontId="0" fillId="3" borderId="1" xfId="0" applyFill="1" applyBorder="1"/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3" xfId="0" applyFill="1" applyBorder="1" applyAlignment="1"/>
    <xf numFmtId="0" fontId="2" fillId="2" borderId="16" xfId="0" applyFont="1" applyFill="1" applyBorder="1" applyAlignment="1">
      <alignment horizontal="center" vertical="center" wrapText="1"/>
    </xf>
    <xf numFmtId="0" fontId="0" fillId="0" borderId="15" xfId="0" applyBorder="1"/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3" borderId="14" xfId="0" applyFill="1" applyBorder="1" applyAlignment="1">
      <alignment horizontal="left" vertical="center"/>
    </xf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142875</xdr:colOff>
          <xdr:row>17</xdr:row>
          <xdr:rowOff>28575</xdr:rowOff>
        </xdr:from>
        <xdr:to>
          <xdr:col>11</xdr:col>
          <xdr:colOff>514350</xdr:colOff>
          <xdr:row>21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Exporter les déciles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S25"/>
  <sheetViews>
    <sheetView tabSelected="1" workbookViewId="0"/>
  </sheetViews>
  <sheetFormatPr defaultRowHeight="15" x14ac:dyDescent="0.25"/>
  <cols>
    <col min="1" max="1" width="11.140625" customWidth="1"/>
    <col min="2" max="2" width="15.7109375" style="22" customWidth="1"/>
    <col min="3" max="6" width="15.7109375" customWidth="1"/>
    <col min="7" max="7" width="15.7109375" style="3" customWidth="1"/>
    <col min="9" max="9" width="23.28515625" customWidth="1"/>
    <col min="10" max="19" width="7.7109375" customWidth="1"/>
  </cols>
  <sheetData>
    <row r="1" spans="2:19" ht="15.75" thickBot="1" x14ac:dyDescent="0.3">
      <c r="B1" s="29"/>
      <c r="C1" s="30"/>
      <c r="D1" s="30"/>
      <c r="E1" s="30"/>
      <c r="F1" s="30"/>
      <c r="G1" s="31"/>
    </row>
    <row r="2" spans="2:19" ht="29.25" thickBot="1" x14ac:dyDescent="0.3">
      <c r="B2" s="23" t="s">
        <v>4</v>
      </c>
      <c r="C2" s="24"/>
      <c r="D2" s="24"/>
      <c r="E2" s="24"/>
      <c r="F2" s="24"/>
      <c r="G2" s="25"/>
      <c r="I2" s="32" t="s">
        <v>6</v>
      </c>
      <c r="J2" s="33"/>
      <c r="K2" s="33"/>
      <c r="L2" s="33"/>
      <c r="M2" s="33"/>
      <c r="N2" s="33"/>
      <c r="O2" s="33"/>
      <c r="P2" s="33"/>
      <c r="Q2" s="33"/>
      <c r="R2" s="33"/>
      <c r="S2" s="34"/>
    </row>
    <row r="3" spans="2:19" ht="15.75" thickBot="1" x14ac:dyDescent="0.3">
      <c r="B3" s="26"/>
      <c r="C3" s="27"/>
      <c r="D3" s="27"/>
      <c r="E3" s="27"/>
      <c r="F3" s="27"/>
      <c r="G3" s="28"/>
    </row>
    <row r="4" spans="2:19" ht="30.75" thickBot="1" x14ac:dyDescent="0.3">
      <c r="B4" s="21" t="s">
        <v>5</v>
      </c>
      <c r="C4" s="5" t="s">
        <v>0</v>
      </c>
      <c r="D4" s="5" t="s">
        <v>1</v>
      </c>
      <c r="E4" s="5" t="s">
        <v>2</v>
      </c>
      <c r="F4" s="5" t="s">
        <v>3</v>
      </c>
      <c r="G4" s="6" t="s">
        <v>18</v>
      </c>
      <c r="J4" s="17" t="s">
        <v>7</v>
      </c>
      <c r="K4" s="18" t="s">
        <v>8</v>
      </c>
      <c r="L4" s="18" t="s">
        <v>9</v>
      </c>
      <c r="M4" s="18" t="s">
        <v>10</v>
      </c>
      <c r="N4" s="18" t="s">
        <v>11</v>
      </c>
      <c r="O4" s="18" t="s">
        <v>12</v>
      </c>
      <c r="P4" s="18" t="s">
        <v>13</v>
      </c>
      <c r="Q4" s="18" t="s">
        <v>14</v>
      </c>
      <c r="R4" s="18" t="s">
        <v>15</v>
      </c>
      <c r="S4" s="19" t="s">
        <v>16</v>
      </c>
    </row>
    <row r="5" spans="2:19" x14ac:dyDescent="0.25">
      <c r="C5">
        <v>0</v>
      </c>
      <c r="D5">
        <v>0</v>
      </c>
      <c r="E5">
        <v>0</v>
      </c>
      <c r="F5">
        <v>0</v>
      </c>
      <c r="G5" s="3">
        <v>0</v>
      </c>
      <c r="I5" s="9" t="s">
        <v>0</v>
      </c>
      <c r="J5" s="10">
        <f>PERCENTILE(C5:C999,0.1)</f>
        <v>1.0000000000000009</v>
      </c>
      <c r="K5" s="11">
        <f>PERCENTILE(C5:C999,0.2)</f>
        <v>1.9999999999999996</v>
      </c>
      <c r="L5" s="11">
        <f>PERCENTILE(C5:C999,0.3)</f>
        <v>3.0000000000000004</v>
      </c>
      <c r="M5" s="11">
        <f>PERCENTILE(C5:C999,0.4)</f>
        <v>3.9999999999999991</v>
      </c>
      <c r="N5" s="11">
        <f>PERCENTILE(C5:C999,0.5)</f>
        <v>5</v>
      </c>
      <c r="O5" s="11">
        <f>PERCENTILE(C5:C999,0.6)</f>
        <v>6.0000000000000009</v>
      </c>
      <c r="P5" s="11">
        <f>PERCENTILE(C5:C999,0.7)</f>
        <v>7</v>
      </c>
      <c r="Q5" s="11">
        <f>PERCENTILE(C5:C999,0.8)</f>
        <v>8</v>
      </c>
      <c r="R5" s="11">
        <f>PERCENTILE(C5:C999,0.9)</f>
        <v>9</v>
      </c>
      <c r="S5" s="12">
        <f>PERCENTILE(C5:C999,1)</f>
        <v>10</v>
      </c>
    </row>
    <row r="6" spans="2:19" x14ac:dyDescent="0.25">
      <c r="C6">
        <v>10</v>
      </c>
      <c r="D6">
        <v>10</v>
      </c>
      <c r="E6">
        <v>10</v>
      </c>
      <c r="F6">
        <v>10</v>
      </c>
      <c r="G6" s="3">
        <v>10</v>
      </c>
      <c r="I6" s="8" t="s">
        <v>1</v>
      </c>
      <c r="J6" s="4">
        <f>PERCENTILE(D5:D999,0.1)</f>
        <v>1.0000000000000009</v>
      </c>
      <c r="K6" s="7">
        <f>PERCENTILE(D5:D999,0.2)</f>
        <v>1.9999999999999996</v>
      </c>
      <c r="L6" s="7">
        <f>PERCENTILE(D5:D999,0.3)</f>
        <v>3.0000000000000004</v>
      </c>
      <c r="M6" s="7">
        <f>PERCENTILE(D5:D999,0.4)</f>
        <v>3.9999999999999991</v>
      </c>
      <c r="N6" s="7">
        <f>PERCENTILE(D5:D999,0.5)</f>
        <v>5</v>
      </c>
      <c r="O6" s="7">
        <f>PERCENTILE(D5:D999,0.6)</f>
        <v>6.0000000000000009</v>
      </c>
      <c r="P6" s="7">
        <f>PERCENTILE(D5:D999,0.7)</f>
        <v>7</v>
      </c>
      <c r="Q6" s="7">
        <f>PERCENTILE(D5:D999,0.8)</f>
        <v>8</v>
      </c>
      <c r="R6" s="7">
        <f>PERCENTILE(D5:D999,0.9)</f>
        <v>9</v>
      </c>
      <c r="S6" s="3">
        <f>PERCENTILE(D5:D999,1)</f>
        <v>10</v>
      </c>
    </row>
    <row r="7" spans="2:19" x14ac:dyDescent="0.25">
      <c r="I7" s="13" t="s">
        <v>2</v>
      </c>
      <c r="J7" s="14">
        <f>PERCENTILE(E5:E999,0.1)</f>
        <v>1.0000000000000009</v>
      </c>
      <c r="K7" s="15">
        <f>PERCENTILE(E5:E999,0.2)</f>
        <v>1.9999999999999996</v>
      </c>
      <c r="L7" s="15">
        <f>PERCENTILE(E5:E999,0.3)</f>
        <v>3.0000000000000004</v>
      </c>
      <c r="M7" s="15">
        <f>PERCENTILE(E5:E999,0.4)</f>
        <v>3.9999999999999991</v>
      </c>
      <c r="N7" s="15">
        <f>PERCENTILE(E5:E999,0.5)</f>
        <v>5</v>
      </c>
      <c r="O7" s="15">
        <f>PERCENTILE(E5:E999,0.6)</f>
        <v>6.0000000000000009</v>
      </c>
      <c r="P7" s="15">
        <f>PERCENTILE(E5:E999,0.7)</f>
        <v>7</v>
      </c>
      <c r="Q7" s="15">
        <f>PERCENTILE(E5:E999,0.8)</f>
        <v>8</v>
      </c>
      <c r="R7" s="15">
        <f>PERCENTILE(E5:E999,0.9)</f>
        <v>9</v>
      </c>
      <c r="S7" s="16">
        <f>PERCENTILE(E5:E999,1)</f>
        <v>10</v>
      </c>
    </row>
    <row r="8" spans="2:19" x14ac:dyDescent="0.25">
      <c r="I8" s="8" t="s">
        <v>3</v>
      </c>
      <c r="J8" s="4">
        <f>PERCENTILE(F5:F999,0.1)</f>
        <v>1.0000000000000009</v>
      </c>
      <c r="K8" s="7">
        <f>PERCENTILE(F5:F999,0.2)</f>
        <v>1.9999999999999996</v>
      </c>
      <c r="L8" s="7">
        <f>PERCENTILE(F5:F999,0.3)</f>
        <v>3.0000000000000004</v>
      </c>
      <c r="M8" s="7">
        <f>PERCENTILE(F5:F999,0.4)</f>
        <v>3.9999999999999991</v>
      </c>
      <c r="N8" s="7">
        <f>PERCENTILE(F5:F999,0.5)</f>
        <v>5</v>
      </c>
      <c r="O8" s="7">
        <f>PERCENTILE(F5:F999,0.6)</f>
        <v>6.0000000000000009</v>
      </c>
      <c r="P8" s="7">
        <f>PERCENTILE(F5:F999,0.7)</f>
        <v>7</v>
      </c>
      <c r="Q8" s="7">
        <f>PERCENTILE(F5:F999,0.8)</f>
        <v>8</v>
      </c>
      <c r="R8" s="7">
        <f>PERCENTILE(F5:F999,0.9)</f>
        <v>9</v>
      </c>
      <c r="S8" s="3">
        <f>PERCENTILE(F5:F999,1)</f>
        <v>10</v>
      </c>
    </row>
    <row r="9" spans="2:19" ht="15.75" thickBot="1" x14ac:dyDescent="0.3">
      <c r="I9" s="38" t="s">
        <v>18</v>
      </c>
      <c r="J9" s="39">
        <f>PERCENTILE(G5:G999,0.1)</f>
        <v>1.0000000000000009</v>
      </c>
      <c r="K9" s="40">
        <f>PERCENTILE(G5:G999,0.2)</f>
        <v>1.9999999999999996</v>
      </c>
      <c r="L9" s="40">
        <f>PERCENTILE(G5:G999,0.3)</f>
        <v>3.0000000000000004</v>
      </c>
      <c r="M9" s="40">
        <f>PERCENTILE(G5:G999,0.4)</f>
        <v>3.9999999999999991</v>
      </c>
      <c r="N9" s="40">
        <f>PERCENTILE(G5:G999,0.5)</f>
        <v>5</v>
      </c>
      <c r="O9" s="40">
        <f>PERCENTILE(G5:G999,0.6)</f>
        <v>6.0000000000000009</v>
      </c>
      <c r="P9" s="40">
        <f>PERCENTILE(G5:G999,0.7)</f>
        <v>7</v>
      </c>
      <c r="Q9" s="40">
        <f>PERCENTILE(G5:G999,0.8)</f>
        <v>8</v>
      </c>
      <c r="R9" s="40">
        <f>PERCENTILE(G5:G999,0.9)</f>
        <v>9</v>
      </c>
      <c r="S9" s="41">
        <f>PERCENTILE(G5:G999,1)</f>
        <v>10</v>
      </c>
    </row>
    <row r="10" spans="2:19" ht="15.75" thickBot="1" x14ac:dyDescent="0.3"/>
    <row r="11" spans="2:19" ht="15.75" thickBot="1" x14ac:dyDescent="0.3">
      <c r="I11" s="20" t="s">
        <v>17</v>
      </c>
      <c r="J11" s="35" t="s">
        <v>19</v>
      </c>
      <c r="K11" s="36"/>
      <c r="L11" s="36"/>
      <c r="M11" s="36"/>
      <c r="N11" s="36"/>
      <c r="O11" s="36"/>
      <c r="P11" s="36"/>
      <c r="Q11" s="37"/>
    </row>
    <row r="15" spans="2:19" x14ac:dyDescent="0.25">
      <c r="J15" s="2"/>
    </row>
    <row r="20" spans="14:14" x14ac:dyDescent="0.25">
      <c r="N20" s="1"/>
    </row>
    <row r="21" spans="14:14" x14ac:dyDescent="0.25">
      <c r="N21" s="1"/>
    </row>
    <row r="22" spans="14:14" x14ac:dyDescent="0.25">
      <c r="N22" s="1"/>
    </row>
    <row r="23" spans="14:14" x14ac:dyDescent="0.25">
      <c r="N23" s="1"/>
    </row>
    <row r="24" spans="14:14" x14ac:dyDescent="0.25">
      <c r="N24" s="1"/>
    </row>
    <row r="25" spans="14:14" x14ac:dyDescent="0.25">
      <c r="N25" s="1"/>
    </row>
  </sheetData>
  <mergeCells count="5">
    <mergeCell ref="B2:G2"/>
    <mergeCell ref="B3:G3"/>
    <mergeCell ref="B1:G1"/>
    <mergeCell ref="I2:S2"/>
    <mergeCell ref="J11:Q1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deciles">
                <anchor moveWithCells="1" sizeWithCells="1">
                  <from>
                    <xdr:col>8</xdr:col>
                    <xdr:colOff>142875</xdr:colOff>
                    <xdr:row>17</xdr:row>
                    <xdr:rowOff>28575</xdr:rowOff>
                  </from>
                  <to>
                    <xdr:col>11</xdr:col>
                    <xdr:colOff>514350</xdr:colOff>
                    <xdr:row>21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Statistiques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Nssm</dc:creator>
  <cp:lastModifiedBy>Nssm</cp:lastModifiedBy>
  <dcterms:created xsi:type="dcterms:W3CDTF">2018-06-17T14:25:03Z</dcterms:created>
  <dcterms:modified xsi:type="dcterms:W3CDTF">2018-06-18T16:07:27Z</dcterms:modified>
</cp:coreProperties>
</file>